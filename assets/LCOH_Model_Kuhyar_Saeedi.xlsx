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Model_Naples" sheetId="2" state="visible" r:id="rId4"/>
    <sheet name="Model_Milan" sheetId="3" state="visible" r:id="rId5"/>
    <sheet name="Results" sheetId="4" state="visible" r:id="rId6"/>
    <sheet name="Sensitivity" sheetId="5" state="visible" r:id="rId7"/>
    <sheet name="CO2_Intens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<sst xmlns="http://schemas.openxmlformats.org/spreadsheetml/2006/main" count="342" uniqueCount="198">
  <si>
    <t xml:space="preserve">LCOH MODEL — On-Site HRS Techno-Economic Analysis</t>
  </si>
  <si>
    <t xml:space="preserve">Kuhyar Saeedi  |  Clean Hydrogen Technologies  |  A.Y. 2025/2026</t>
  </si>
  <si>
    <t xml:space="preserve">Blue = input you can change   |   Black = calculated   |   Based on Minutillo et al. (2021) + instructor simplifications S1–S4</t>
  </si>
  <si>
    <t xml:space="preserve">A. GENERAL</t>
  </si>
  <si>
    <t xml:space="preserve">Plant lifetime n</t>
  </si>
  <si>
    <t xml:space="preserve">years</t>
  </si>
  <si>
    <t xml:space="preserve">Minutillo 2021, Table 5</t>
  </si>
  <si>
    <t xml:space="preserve">Nominal interest rate i</t>
  </si>
  <si>
    <t xml:space="preserve">-</t>
  </si>
  <si>
    <t xml:space="preserve">Capital Recovery Factor CRF</t>
  </si>
  <si>
    <t xml:space="preserve">CRF = i(1+i)^n/((1+i)^n-1)</t>
  </si>
  <si>
    <t xml:space="preserve">Operating days per year</t>
  </si>
  <si>
    <t xml:space="preserve">days</t>
  </si>
  <si>
    <t xml:space="preserve">Continuous 24h operation</t>
  </si>
  <si>
    <t xml:space="preserve">Operating hours per year</t>
  </si>
  <si>
    <t xml:space="preserve">h</t>
  </si>
  <si>
    <t xml:space="preserve">days x 24</t>
  </si>
  <si>
    <t xml:space="preserve">B. ELECTROLYZER (Alkaline)</t>
  </si>
  <si>
    <t xml:space="preserve">H2 production per module</t>
  </si>
  <si>
    <t xml:space="preserve">kg/day</t>
  </si>
  <si>
    <t xml:space="preserve">Minutillo 2021</t>
  </si>
  <si>
    <t xml:space="preserve">H2 flow rate per module</t>
  </si>
  <si>
    <t xml:space="preserve">Nm3/h</t>
  </si>
  <si>
    <t xml:space="preserve">Nominal power per module</t>
  </si>
  <si>
    <t xml:space="preserve">kW</t>
  </si>
  <si>
    <t xml:space="preserve">Specific consumption (baseline)</t>
  </si>
  <si>
    <t xml:space="preserve">kWh/Nm3</t>
  </si>
  <si>
    <t xml:space="preserve">H2 density</t>
  </si>
  <si>
    <t xml:space="preserve">kg/Nm3</t>
  </si>
  <si>
    <t xml:space="preserve">Standard</t>
  </si>
  <si>
    <t xml:space="preserve">LHV of hydrogen</t>
  </si>
  <si>
    <t xml:space="preserve">kWh/kg</t>
  </si>
  <si>
    <t xml:space="preserve">Electrolyzer efficiency</t>
  </si>
  <si>
    <t xml:space="preserve">eta = LHV/(spec/density)</t>
  </si>
  <si>
    <t xml:space="preserve">Electrolyzer cost</t>
  </si>
  <si>
    <t xml:space="preserve">EUR/kW</t>
  </si>
  <si>
    <t xml:space="preserve">O&amp;M electrolyzer</t>
  </si>
  <si>
    <t xml:space="preserve">frac CAPEX/yr</t>
  </si>
  <si>
    <t xml:space="preserve">Table 5</t>
  </si>
  <si>
    <t xml:space="preserve">Replacement factor electrolyzer</t>
  </si>
  <si>
    <t xml:space="preserve">frac CAPEX</t>
  </si>
  <si>
    <t xml:space="preserve">~52.6/129.8 (paper)</t>
  </si>
  <si>
    <t xml:space="preserve">C. COMPRESSION (isentropic)</t>
  </si>
  <si>
    <t xml:space="preserve">Ratio of specific heats k</t>
  </si>
  <si>
    <t xml:space="preserve">Standard for H2</t>
  </si>
  <si>
    <t xml:space="preserve">Gas constant R_H2</t>
  </si>
  <si>
    <t xml:space="preserve">kJ/kg.K</t>
  </si>
  <si>
    <t xml:space="preserve">Inlet temperature</t>
  </si>
  <si>
    <t xml:space="preserve">K</t>
  </si>
  <si>
    <t xml:space="preserve">25 C</t>
  </si>
  <si>
    <t xml:space="preserve">Inlet pressure</t>
  </si>
  <si>
    <t xml:space="preserve">bar</t>
  </si>
  <si>
    <t xml:space="preserve">Electrolysis outlet</t>
  </si>
  <si>
    <t xml:space="preserve">Outlet pressure</t>
  </si>
  <si>
    <t xml:space="preserve">Cascade filling</t>
  </si>
  <si>
    <t xml:space="preserve">Isentropic efficiency</t>
  </si>
  <si>
    <t xml:space="preserve">Mechanical efficiency</t>
  </si>
  <si>
    <t xml:space="preserve">Generator efficiency</t>
  </si>
  <si>
    <t xml:space="preserve">Compression work per kg</t>
  </si>
  <si>
    <t xml:space="preserve">kJ/kg</t>
  </si>
  <si>
    <t xml:space="preserve">Isentropic /effs</t>
  </si>
  <si>
    <t xml:space="preserve">Compressor cost constant</t>
  </si>
  <si>
    <t xml:space="preserve">EUR</t>
  </si>
  <si>
    <t xml:space="preserve">c = k x P^exp</t>
  </si>
  <si>
    <t xml:space="preserve">Compressor cost exponent</t>
  </si>
  <si>
    <t xml:space="preserve">O&amp;M compressor</t>
  </si>
  <si>
    <t xml:space="preserve">D. REFRIGERATION</t>
  </si>
  <si>
    <t xml:space="preserve">Enthalpy difference dh</t>
  </si>
  <si>
    <t xml:space="preserve">REFPROP 25-&gt;-40 C</t>
  </si>
  <si>
    <t xml:space="preserve">H2 flow at dispenser</t>
  </si>
  <si>
    <t xml:space="preserve">kg/s</t>
  </si>
  <si>
    <t xml:space="preserve">COP of refrigerator</t>
  </si>
  <si>
    <t xml:space="preserve">Refrigerator cost</t>
  </si>
  <si>
    <t xml:space="preserve">O&amp;M refrigerator</t>
  </si>
  <si>
    <t xml:space="preserve">E. DISPENSER</t>
  </si>
  <si>
    <t xml:space="preserve">Dispenser cost</t>
  </si>
  <si>
    <t xml:space="preserve">EUR/unit</t>
  </si>
  <si>
    <t xml:space="preserve">O&amp;M dispenser</t>
  </si>
  <si>
    <t xml:space="preserve">F. WATER AUX (O&amp;M only, S2)</t>
  </si>
  <si>
    <t xml:space="preserve">Water aux system cost</t>
  </si>
  <si>
    <t xml:space="preserve">O&amp;M water aux</t>
  </si>
  <si>
    <t xml:space="preserve">G. PV &amp; ELECTRICITY</t>
  </si>
  <si>
    <t xml:space="preserve">PV plant cost</t>
  </si>
  <si>
    <t xml:space="preserve">EUR/kWp</t>
  </si>
  <si>
    <t xml:space="preserve">O&amp;M PV plant</t>
  </si>
  <si>
    <t xml:space="preserve">PV yield - South site (Naples)</t>
  </si>
  <si>
    <t xml:space="preserve">kWh/kWp/yr</t>
  </si>
  <si>
    <t xml:space="preserve">PVGIS-SARAH3, optimized slope/azimuth, 14% loss</t>
  </si>
  <si>
    <t xml:space="preserve">PV yield - North site (Milan)</t>
  </si>
  <si>
    <t xml:space="preserve">Elec price &lt;1 GWh/yr</t>
  </si>
  <si>
    <t xml:space="preserve">EUR/MWh</t>
  </si>
  <si>
    <t xml:space="preserve">Elec price 1-2.5 GWh/yr</t>
  </si>
  <si>
    <t xml:space="preserve">Elec price &gt;2.5 GWh/yr</t>
  </si>
  <si>
    <t xml:space="preserve">Electrolyzer energy share (S4)</t>
  </si>
  <si>
    <t xml:space="preserve">90/10 rule</t>
  </si>
  <si>
    <t xml:space="preserve">H. SIMPLIFICATIONS (set to ZERO)</t>
  </si>
  <si>
    <t xml:space="preserve">S1 PV export revenue</t>
  </si>
  <si>
    <t xml:space="preserve">Excluded (paper: 50)</t>
  </si>
  <si>
    <t xml:space="preserve">S2 Water purchase cost</t>
  </si>
  <si>
    <t xml:space="preserve">EUR/m3</t>
  </si>
  <si>
    <t xml:space="preserve">Excluded (paper: ~1)</t>
  </si>
  <si>
    <t xml:space="preserve">S3 Storage CAPEX</t>
  </si>
  <si>
    <t xml:space="preserve">EUR/kg H2</t>
  </si>
  <si>
    <t xml:space="preserve">Excluded (paper: 1644)</t>
  </si>
  <si>
    <t xml:space="preserve">MODEL — South Italy (Naples), yield 1272 kWh/kWp/yr</t>
  </si>
  <si>
    <t xml:space="preserve">12 configurations — all values live-linked to Parameters sheet</t>
  </si>
  <si>
    <t xml:space="preserve">Config</t>
  </si>
  <si>
    <t xml:space="preserve">Size</t>
  </si>
  <si>
    <t xml:space="preserve">N_mod</t>
  </si>
  <si>
    <t xml:space="preserve">N_disp</t>
  </si>
  <si>
    <t xml:space="preserve">Grid frac</t>
  </si>
  <si>
    <t xml:space="preserve">H2 [kg/yr]</t>
  </si>
  <si>
    <t xml:space="preserve">E_elec [MWh]</t>
  </si>
  <si>
    <t xml:space="preserve">E_total [MWh]</t>
  </si>
  <si>
    <t xml:space="preserve">E_grid [MWh]</t>
  </si>
  <si>
    <t xml:space="preserve">E_PV [MWh]</t>
  </si>
  <si>
    <t xml:space="preserve">PV [kWp]</t>
  </si>
  <si>
    <t xml:space="preserve">Comp [kW]</t>
  </si>
  <si>
    <t xml:space="preserve">Refrig [kW]</t>
  </si>
  <si>
    <t xml:space="preserve">CX Elec [k€]</t>
  </si>
  <si>
    <t xml:space="preserve">CX Comp [k€]</t>
  </si>
  <si>
    <t xml:space="preserve">CX Refrig [k€]</t>
  </si>
  <si>
    <t xml:space="preserve">CX Disp [k€]</t>
  </si>
  <si>
    <t xml:space="preserve">CX Water [k€]</t>
  </si>
  <si>
    <t xml:space="preserve">CX PV [k€]</t>
  </si>
  <si>
    <t xml:space="preserve">CAPEX [k€]</t>
  </si>
  <si>
    <t xml:space="preserve">Elec price [€/MWh]</t>
  </si>
  <si>
    <t xml:space="preserve">Elec cost [k€/yr]</t>
  </si>
  <si>
    <t xml:space="preserve">O&amp;M tot [k€/yr]</t>
  </si>
  <si>
    <t xml:space="preserve">OPEX [k€/yr]</t>
  </si>
  <si>
    <t xml:space="preserve">C_inv,a [k€/yr]</t>
  </si>
  <si>
    <t xml:space="preserve">C_rep,a [k€/yr]</t>
  </si>
  <si>
    <t xml:space="preserve">Total [k€/yr]</t>
  </si>
  <si>
    <t xml:space="preserve">LCOH [€/kg]</t>
  </si>
  <si>
    <t xml:space="preserve">Micro_FG</t>
  </si>
  <si>
    <t xml:space="preserve">Micro</t>
  </si>
  <si>
    <t xml:space="preserve">Micro_HG</t>
  </si>
  <si>
    <t xml:space="preserve">Micro_MG</t>
  </si>
  <si>
    <t xml:space="preserve">Micro_LG</t>
  </si>
  <si>
    <t xml:space="preserve">Small_FG</t>
  </si>
  <si>
    <t xml:space="preserve">Small</t>
  </si>
  <si>
    <t xml:space="preserve">Small_HG</t>
  </si>
  <si>
    <t xml:space="preserve">Small_MG</t>
  </si>
  <si>
    <t xml:space="preserve">Small_LG</t>
  </si>
  <si>
    <t xml:space="preserve">Medium_FG</t>
  </si>
  <si>
    <t xml:space="preserve">Medium</t>
  </si>
  <si>
    <t xml:space="preserve">Medium_HG</t>
  </si>
  <si>
    <t xml:space="preserve">Medium_MG</t>
  </si>
  <si>
    <t xml:space="preserve">Medium_LG</t>
  </si>
  <si>
    <t xml:space="preserve">MODEL — North Italy (Milan), yield 1050 kWh/kWp/yr</t>
  </si>
  <si>
    <t xml:space="preserve">LCOH RESULTS SUMMARY (€/kg H2)</t>
  </si>
  <si>
    <t xml:space="preserve">A) NAPLES (South Italy)</t>
  </si>
  <si>
    <t xml:space="preserve">Plant Size</t>
  </si>
  <si>
    <t xml:space="preserve">Full Grid 100%</t>
  </si>
  <si>
    <t xml:space="preserve">High Grid 75%</t>
  </si>
  <si>
    <t xml:space="preserve">Mid Grid 50%</t>
  </si>
  <si>
    <t xml:space="preserve">Low Grid 25%</t>
  </si>
  <si>
    <t xml:space="preserve">Micro (50 kg/d)</t>
  </si>
  <si>
    <t xml:space="preserve">Small (100 kg/d)</t>
  </si>
  <si>
    <t xml:space="preserve">Medium (200 kg/d)</t>
  </si>
  <si>
    <t xml:space="preserve">B) MILAN (North Italy)</t>
  </si>
  <si>
    <t xml:space="preserve">KEY FINDINGS</t>
  </si>
  <si>
    <t xml:space="preserve">Best configuration</t>
  </si>
  <si>
    <t xml:space="preserve">Worst configuration</t>
  </si>
  <si>
    <t xml:space="preserve">Range (worst -&gt; best)</t>
  </si>
  <si>
    <t xml:space="preserve">Scale effect Micro-&gt;Medium (LG)</t>
  </si>
  <si>
    <t xml:space="preserve">Milan penalty (Medium_LG)</t>
  </si>
  <si>
    <t xml:space="preserve">COST BREAKDOWN - Best config (Medium_LG, Naples)</t>
  </si>
  <si>
    <t xml:space="preserve">Component</t>
  </si>
  <si>
    <t xml:space="preserve">k€/yr</t>
  </si>
  <si>
    <t xml:space="preserve">% of total</t>
  </si>
  <si>
    <t xml:space="preserve">Annualised CAPEX</t>
  </si>
  <si>
    <t xml:space="preserve">Annualised REPLEX</t>
  </si>
  <si>
    <t xml:space="preserve">OPEX - grid electricity</t>
  </si>
  <si>
    <t xml:space="preserve">OPEX - O&amp;M</t>
  </si>
  <si>
    <t xml:space="preserve">TOTAL</t>
  </si>
  <si>
    <t xml:space="preserve">SENSITIVITY ANALYSIS — Reference: Medium_MG (200 kg/day, 50% grid, Naples)</t>
  </si>
  <si>
    <t xml:space="preserve">1) Electrolyzer specific consumption</t>
  </si>
  <si>
    <t xml:space="preserve">Spec cons [kWh/Nm3]</t>
  </si>
  <si>
    <t xml:space="preserve">Efficiency</t>
  </si>
  <si>
    <t xml:space="preserve">Power/mod [kW]</t>
  </si>
  <si>
    <t xml:space="preserve">CX elec [k€]</t>
  </si>
  <si>
    <t xml:space="preserve">CX water [k€]</t>
  </si>
  <si>
    <t xml:space="preserve">Elec cost [k€]</t>
  </si>
  <si>
    <t xml:space="preserve">O&amp;M [k€]</t>
  </si>
  <si>
    <t xml:space="preserve">C_inv,a</t>
  </si>
  <si>
    <t xml:space="preserve">C_rep,a</t>
  </si>
  <si>
    <t xml:space="preserve">OPEX</t>
  </si>
  <si>
    <t xml:space="preserve">Total [k€]</t>
  </si>
  <si>
    <t xml:space="preserve">2) Grid electricity price (Medium_MG, spec=5.1)</t>
  </si>
  <si>
    <t xml:space="preserve">Price [€/MWh]</t>
  </si>
  <si>
    <t xml:space="preserve">Change vs base</t>
  </si>
  <si>
    <t xml:space="preserve">CARBON INTENSITY (optional analysis) — kg CO2 / kg H2</t>
  </si>
  <si>
    <t xml:space="preserve">Grid carbon intensity</t>
  </si>
  <si>
    <t xml:space="preserve">gCO2/kWh (Italy 200-300)</t>
  </si>
  <si>
    <t xml:space="preserve">PV carbon intensity</t>
  </si>
  <si>
    <t xml:space="preserve">gCO2/kWh (LCA ~30-40)</t>
  </si>
  <si>
    <t xml:space="preserve">CO2 [kg/kg H2]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</si>
</sst>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"/>
    <numFmt numFmtId="168" formatCode="#,##0.0"/>
    <numFmt numFmtId="169" formatCode="0.00"/>
    <numFmt numFmtId="170" formatCode="0.0%"/>
    <numFmt numFmtId="171" formatCode="\+0.00;\-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  <c r="C5" s="6"/>
      <c r="D5" s="6"/>
    </row>
    <row r="6" customFormat="false" ht="15" hidden="false" customHeight="true" outlineLevel="0" collapsed="false">
      <c r="A6" s="7" t="s">
        <v>4</v>
      </c>
      <c r="B6" s="8" t="n">
        <v>20</v>
      </c>
      <c r="C6" s="7" t="s">
        <v>5</v>
      </c>
      <c r="D6" s="9" t="s">
        <v>6</v>
      </c>
    </row>
    <row r="7" customFormat="false" ht="15" hidden="false" customHeight="true" outlineLevel="0" collapsed="false">
      <c r="A7" s="7" t="s">
        <v>7</v>
      </c>
      <c r="B7" s="8" t="n">
        <v>0.03</v>
      </c>
      <c r="C7" s="7" t="s">
        <v>8</v>
      </c>
      <c r="D7" s="9" t="s">
        <v>6</v>
      </c>
    </row>
    <row r="8" customFormat="false" ht="15" hidden="false" customHeight="true" outlineLevel="0" collapsed="false">
      <c r="A8" s="7" t="s">
        <v>9</v>
      </c>
      <c r="B8" s="7" t="n">
        <f aca="false">B7*(1+B7)^B6/((1+B7)^B6-1)</f>
        <v>0.0672157075968591</v>
      </c>
      <c r="C8" s="7" t="s">
        <v>8</v>
      </c>
      <c r="D8" s="9" t="s">
        <v>10</v>
      </c>
    </row>
    <row r="9" customFormat="false" ht="15" hidden="false" customHeight="true" outlineLevel="0" collapsed="false">
      <c r="A9" s="7" t="s">
        <v>11</v>
      </c>
      <c r="B9" s="8" t="n">
        <v>365</v>
      </c>
      <c r="C9" s="7" t="s">
        <v>12</v>
      </c>
      <c r="D9" s="9" t="s">
        <v>13</v>
      </c>
    </row>
    <row r="10" customFormat="false" ht="15" hidden="false" customHeight="true" outlineLevel="0" collapsed="false">
      <c r="A10" s="7" t="s">
        <v>14</v>
      </c>
      <c r="B10" s="7" t="n">
        <f aca="false">B9*24</f>
        <v>8760</v>
      </c>
      <c r="C10" s="7" t="s">
        <v>15</v>
      </c>
      <c r="D10" s="9" t="s">
        <v>16</v>
      </c>
    </row>
    <row r="11" customFormat="false" ht="15" hidden="false" customHeight="true" outlineLevel="0" collapsed="false">
      <c r="A11" s="5" t="s">
        <v>17</v>
      </c>
      <c r="B11" s="6"/>
      <c r="C11" s="6"/>
      <c r="D11" s="6"/>
    </row>
    <row r="12" customFormat="false" ht="15" hidden="false" customHeight="true" outlineLevel="0" collapsed="false">
      <c r="A12" s="7" t="s">
        <v>18</v>
      </c>
      <c r="B12" s="8" t="n">
        <v>50</v>
      </c>
      <c r="C12" s="7" t="s">
        <v>19</v>
      </c>
      <c r="D12" s="9" t="s">
        <v>20</v>
      </c>
    </row>
    <row r="13" customFormat="false" ht="15" hidden="false" customHeight="true" outlineLevel="0" collapsed="false">
      <c r="A13" s="7" t="s">
        <v>21</v>
      </c>
      <c r="B13" s="8" t="n">
        <v>23</v>
      </c>
      <c r="C13" s="7" t="s">
        <v>22</v>
      </c>
      <c r="D13" s="9" t="s">
        <v>20</v>
      </c>
    </row>
    <row r="14" customFormat="false" ht="15" hidden="false" customHeight="true" outlineLevel="0" collapsed="false">
      <c r="A14" s="7" t="s">
        <v>23</v>
      </c>
      <c r="B14" s="8" t="n">
        <v>118</v>
      </c>
      <c r="C14" s="7" t="s">
        <v>24</v>
      </c>
      <c r="D14" s="9" t="s">
        <v>20</v>
      </c>
    </row>
    <row r="15" customFormat="false" ht="15" hidden="false" customHeight="true" outlineLevel="0" collapsed="false">
      <c r="A15" s="7" t="s">
        <v>25</v>
      </c>
      <c r="B15" s="8" t="n">
        <v>5.1</v>
      </c>
      <c r="C15" s="7" t="s">
        <v>26</v>
      </c>
      <c r="D15" s="9" t="s">
        <v>20</v>
      </c>
    </row>
    <row r="16" customFormat="false" ht="15" hidden="false" customHeight="true" outlineLevel="0" collapsed="false">
      <c r="A16" s="7" t="s">
        <v>27</v>
      </c>
      <c r="B16" s="8" t="n">
        <v>0.089</v>
      </c>
      <c r="C16" s="7" t="s">
        <v>28</v>
      </c>
      <c r="D16" s="9" t="s">
        <v>29</v>
      </c>
    </row>
    <row r="17" customFormat="false" ht="15" hidden="false" customHeight="true" outlineLevel="0" collapsed="false">
      <c r="A17" s="7" t="s">
        <v>30</v>
      </c>
      <c r="B17" s="8" t="n">
        <v>33</v>
      </c>
      <c r="C17" s="7" t="s">
        <v>31</v>
      </c>
      <c r="D17" s="9" t="s">
        <v>29</v>
      </c>
    </row>
    <row r="18" customFormat="false" ht="15" hidden="false" customHeight="true" outlineLevel="0" collapsed="false">
      <c r="A18" s="7" t="s">
        <v>32</v>
      </c>
      <c r="B18" s="7" t="n">
        <f aca="false">B17/(B15/B16)</f>
        <v>0.575882352941177</v>
      </c>
      <c r="C18" s="7" t="s">
        <v>8</v>
      </c>
      <c r="D18" s="9" t="s">
        <v>33</v>
      </c>
    </row>
    <row r="19" customFormat="false" ht="15" hidden="false" customHeight="true" outlineLevel="0" collapsed="false">
      <c r="A19" s="7" t="s">
        <v>34</v>
      </c>
      <c r="B19" s="8" t="n">
        <v>1100</v>
      </c>
      <c r="C19" s="7" t="s">
        <v>35</v>
      </c>
      <c r="D19" s="9" t="s">
        <v>6</v>
      </c>
    </row>
    <row r="20" customFormat="false" ht="15" hidden="false" customHeight="true" outlineLevel="0" collapsed="false">
      <c r="A20" s="7" t="s">
        <v>36</v>
      </c>
      <c r="B20" s="8" t="n">
        <v>0.02</v>
      </c>
      <c r="C20" s="7" t="s">
        <v>37</v>
      </c>
      <c r="D20" s="9" t="s">
        <v>38</v>
      </c>
    </row>
    <row r="21" customFormat="false" ht="15" hidden="false" customHeight="true" outlineLevel="0" collapsed="false">
      <c r="A21" s="7" t="s">
        <v>39</v>
      </c>
      <c r="B21" s="8" t="n">
        <v>0.405</v>
      </c>
      <c r="C21" s="7" t="s">
        <v>40</v>
      </c>
      <c r="D21" s="9" t="s">
        <v>41</v>
      </c>
    </row>
    <row r="22" customFormat="false" ht="15" hidden="false" customHeight="true" outlineLevel="0" collapsed="false">
      <c r="A22" s="5" t="s">
        <v>42</v>
      </c>
      <c r="B22" s="6"/>
      <c r="C22" s="6"/>
      <c r="D22" s="6"/>
    </row>
    <row r="23" customFormat="false" ht="15" hidden="false" customHeight="true" outlineLevel="0" collapsed="false">
      <c r="A23" s="7" t="s">
        <v>43</v>
      </c>
      <c r="B23" s="8" t="n">
        <v>1.4</v>
      </c>
      <c r="C23" s="7" t="s">
        <v>8</v>
      </c>
      <c r="D23" s="9" t="s">
        <v>44</v>
      </c>
    </row>
    <row r="24" customFormat="false" ht="15" hidden="false" customHeight="true" outlineLevel="0" collapsed="false">
      <c r="A24" s="7" t="s">
        <v>45</v>
      </c>
      <c r="B24" s="8" t="n">
        <v>4.12</v>
      </c>
      <c r="C24" s="7" t="s">
        <v>46</v>
      </c>
      <c r="D24" s="9" t="s">
        <v>44</v>
      </c>
    </row>
    <row r="25" customFormat="false" ht="15" hidden="false" customHeight="true" outlineLevel="0" collapsed="false">
      <c r="A25" s="7" t="s">
        <v>47</v>
      </c>
      <c r="B25" s="8" t="n">
        <v>298</v>
      </c>
      <c r="C25" s="7" t="s">
        <v>48</v>
      </c>
      <c r="D25" s="9" t="s">
        <v>49</v>
      </c>
    </row>
    <row r="26" customFormat="false" ht="15" hidden="false" customHeight="true" outlineLevel="0" collapsed="false">
      <c r="A26" s="7" t="s">
        <v>50</v>
      </c>
      <c r="B26" s="8" t="n">
        <v>10</v>
      </c>
      <c r="C26" s="7" t="s">
        <v>51</v>
      </c>
      <c r="D26" s="9" t="s">
        <v>52</v>
      </c>
    </row>
    <row r="27" customFormat="false" ht="15" hidden="false" customHeight="true" outlineLevel="0" collapsed="false">
      <c r="A27" s="7" t="s">
        <v>53</v>
      </c>
      <c r="B27" s="8" t="n">
        <v>820</v>
      </c>
      <c r="C27" s="7" t="s">
        <v>51</v>
      </c>
      <c r="D27" s="9" t="s">
        <v>54</v>
      </c>
    </row>
    <row r="28" customFormat="false" ht="15" hidden="false" customHeight="true" outlineLevel="0" collapsed="false">
      <c r="A28" s="7" t="s">
        <v>55</v>
      </c>
      <c r="B28" s="8" t="n">
        <v>0.8</v>
      </c>
      <c r="C28" s="7" t="s">
        <v>8</v>
      </c>
      <c r="D28" s="9" t="s">
        <v>20</v>
      </c>
    </row>
    <row r="29" customFormat="false" ht="15" hidden="false" customHeight="true" outlineLevel="0" collapsed="false">
      <c r="A29" s="7" t="s">
        <v>56</v>
      </c>
      <c r="B29" s="8" t="n">
        <v>0.98</v>
      </c>
      <c r="C29" s="7" t="s">
        <v>8</v>
      </c>
      <c r="D29" s="9" t="s">
        <v>20</v>
      </c>
    </row>
    <row r="30" customFormat="false" ht="15" hidden="false" customHeight="true" outlineLevel="0" collapsed="false">
      <c r="A30" s="7" t="s">
        <v>57</v>
      </c>
      <c r="B30" s="8" t="n">
        <v>0.96</v>
      </c>
      <c r="C30" s="7" t="s">
        <v>8</v>
      </c>
      <c r="D30" s="9" t="s">
        <v>20</v>
      </c>
    </row>
    <row r="31" customFormat="false" ht="15" hidden="false" customHeight="true" outlineLevel="0" collapsed="false">
      <c r="A31" s="7" t="s">
        <v>58</v>
      </c>
      <c r="B31" s="7" t="n">
        <f aca="false">B23/(B23-1)*B24*B25*((B27/B26)^((B23-1)/B23)-1)/(B28*B29*B30)</f>
        <v>14399.9077053649</v>
      </c>
      <c r="C31" s="7" t="s">
        <v>59</v>
      </c>
      <c r="D31" s="9" t="s">
        <v>60</v>
      </c>
    </row>
    <row r="32" customFormat="false" ht="15" hidden="false" customHeight="true" outlineLevel="0" collapsed="false">
      <c r="A32" s="7" t="s">
        <v>61</v>
      </c>
      <c r="B32" s="8" t="n">
        <v>43872</v>
      </c>
      <c r="C32" s="7" t="s">
        <v>62</v>
      </c>
      <c r="D32" s="9" t="s">
        <v>63</v>
      </c>
    </row>
    <row r="33" customFormat="false" ht="15" hidden="false" customHeight="true" outlineLevel="0" collapsed="false">
      <c r="A33" s="7" t="s">
        <v>64</v>
      </c>
      <c r="B33" s="8" t="n">
        <v>0.5861</v>
      </c>
      <c r="C33" s="7" t="s">
        <v>8</v>
      </c>
      <c r="D33" s="9" t="s">
        <v>38</v>
      </c>
    </row>
    <row r="34" customFormat="false" ht="15" hidden="false" customHeight="true" outlineLevel="0" collapsed="false">
      <c r="A34" s="7" t="s">
        <v>65</v>
      </c>
      <c r="B34" s="8" t="n">
        <v>0.08</v>
      </c>
      <c r="C34" s="7" t="s">
        <v>37</v>
      </c>
      <c r="D34" s="9" t="s">
        <v>38</v>
      </c>
    </row>
    <row r="35" customFormat="false" ht="15" hidden="false" customHeight="true" outlineLevel="0" collapsed="false">
      <c r="A35" s="5" t="s">
        <v>66</v>
      </c>
      <c r="B35" s="6"/>
      <c r="C35" s="6"/>
      <c r="D35" s="6"/>
    </row>
    <row r="36" customFormat="false" ht="15" hidden="false" customHeight="true" outlineLevel="0" collapsed="false">
      <c r="A36" s="7" t="s">
        <v>67</v>
      </c>
      <c r="B36" s="8" t="n">
        <v>976.8</v>
      </c>
      <c r="C36" s="7" t="s">
        <v>59</v>
      </c>
      <c r="D36" s="9" t="s">
        <v>68</v>
      </c>
    </row>
    <row r="37" customFormat="false" ht="15" hidden="false" customHeight="true" outlineLevel="0" collapsed="false">
      <c r="A37" s="7" t="s">
        <v>69</v>
      </c>
      <c r="B37" s="8" t="n">
        <v>0.0167</v>
      </c>
      <c r="C37" s="7" t="s">
        <v>70</v>
      </c>
      <c r="D37" s="9" t="s">
        <v>20</v>
      </c>
    </row>
    <row r="38" customFormat="false" ht="15" hidden="false" customHeight="true" outlineLevel="0" collapsed="false">
      <c r="A38" s="7" t="s">
        <v>71</v>
      </c>
      <c r="B38" s="8" t="n">
        <v>1</v>
      </c>
      <c r="C38" s="7" t="s">
        <v>8</v>
      </c>
      <c r="D38" s="9" t="s">
        <v>20</v>
      </c>
    </row>
    <row r="39" customFormat="false" ht="15" hidden="false" customHeight="true" outlineLevel="0" collapsed="false">
      <c r="A39" s="7" t="s">
        <v>72</v>
      </c>
      <c r="B39" s="8" t="n">
        <v>5374</v>
      </c>
      <c r="C39" s="7" t="s">
        <v>35</v>
      </c>
      <c r="D39" s="9" t="s">
        <v>38</v>
      </c>
    </row>
    <row r="40" customFormat="false" ht="15" hidden="false" customHeight="true" outlineLevel="0" collapsed="false">
      <c r="A40" s="7" t="s">
        <v>73</v>
      </c>
      <c r="B40" s="8" t="n">
        <v>0.03</v>
      </c>
      <c r="C40" s="7" t="s">
        <v>37</v>
      </c>
      <c r="D40" s="9" t="s">
        <v>38</v>
      </c>
    </row>
    <row r="41" customFormat="false" ht="15" hidden="false" customHeight="true" outlineLevel="0" collapsed="false">
      <c r="A41" s="5" t="s">
        <v>74</v>
      </c>
      <c r="B41" s="6"/>
      <c r="C41" s="6"/>
      <c r="D41" s="6"/>
    </row>
    <row r="42" customFormat="false" ht="15" hidden="false" customHeight="true" outlineLevel="0" collapsed="false">
      <c r="A42" s="7" t="s">
        <v>75</v>
      </c>
      <c r="B42" s="8" t="n">
        <v>65000</v>
      </c>
      <c r="C42" s="7" t="s">
        <v>76</v>
      </c>
      <c r="D42" s="9" t="s">
        <v>38</v>
      </c>
    </row>
    <row r="43" customFormat="false" ht="15" hidden="false" customHeight="true" outlineLevel="0" collapsed="false">
      <c r="A43" s="7" t="s">
        <v>77</v>
      </c>
      <c r="B43" s="8" t="n">
        <v>0.03</v>
      </c>
      <c r="C43" s="7" t="s">
        <v>37</v>
      </c>
      <c r="D43" s="9" t="s">
        <v>38</v>
      </c>
    </row>
    <row r="44" customFormat="false" ht="15" hidden="false" customHeight="true" outlineLevel="0" collapsed="false">
      <c r="A44" s="5" t="s">
        <v>78</v>
      </c>
      <c r="B44" s="6"/>
      <c r="C44" s="6"/>
      <c r="D44" s="6"/>
    </row>
    <row r="45" customFormat="false" ht="15" hidden="false" customHeight="true" outlineLevel="0" collapsed="false">
      <c r="A45" s="7" t="s">
        <v>79</v>
      </c>
      <c r="B45" s="8" t="n">
        <v>8.47</v>
      </c>
      <c r="C45" s="7" t="s">
        <v>35</v>
      </c>
      <c r="D45" s="9" t="s">
        <v>38</v>
      </c>
    </row>
    <row r="46" customFormat="false" ht="15" hidden="false" customHeight="true" outlineLevel="0" collapsed="false">
      <c r="A46" s="7" t="s">
        <v>80</v>
      </c>
      <c r="B46" s="8" t="n">
        <v>0.02</v>
      </c>
      <c r="C46" s="7" t="s">
        <v>37</v>
      </c>
      <c r="D46" s="9" t="s">
        <v>38</v>
      </c>
    </row>
    <row r="47" customFormat="false" ht="15" hidden="false" customHeight="true" outlineLevel="0" collapsed="false">
      <c r="A47" s="5" t="s">
        <v>81</v>
      </c>
      <c r="B47" s="6"/>
      <c r="C47" s="6"/>
      <c r="D47" s="6"/>
    </row>
    <row r="48" customFormat="false" ht="15" hidden="false" customHeight="true" outlineLevel="0" collapsed="false">
      <c r="A48" s="7" t="s">
        <v>82</v>
      </c>
      <c r="B48" s="8" t="n">
        <v>950</v>
      </c>
      <c r="C48" s="7" t="s">
        <v>83</v>
      </c>
      <c r="D48" s="9" t="s">
        <v>38</v>
      </c>
    </row>
    <row r="49" customFormat="false" ht="15" hidden="false" customHeight="true" outlineLevel="0" collapsed="false">
      <c r="A49" s="7" t="s">
        <v>84</v>
      </c>
      <c r="B49" s="8" t="n">
        <v>0.0158</v>
      </c>
      <c r="C49" s="7" t="s">
        <v>37</v>
      </c>
      <c r="D49" s="9" t="s">
        <v>38</v>
      </c>
    </row>
    <row r="50" customFormat="false" ht="15" hidden="false" customHeight="true" outlineLevel="0" collapsed="false">
      <c r="A50" s="7" t="s">
        <v>85</v>
      </c>
      <c r="B50" s="8" t="n">
        <v>1497</v>
      </c>
      <c r="C50" s="7" t="s">
        <v>86</v>
      </c>
      <c r="D50" s="9" t="s">
        <v>87</v>
      </c>
    </row>
    <row r="51" customFormat="false" ht="15" hidden="false" customHeight="true" outlineLevel="0" collapsed="false">
      <c r="A51" s="7" t="s">
        <v>88</v>
      </c>
      <c r="B51" s="8" t="n">
        <v>1369</v>
      </c>
      <c r="C51" s="7" t="s">
        <v>86</v>
      </c>
      <c r="D51" s="9" t="s">
        <v>87</v>
      </c>
    </row>
    <row r="52" customFormat="false" ht="15" hidden="false" customHeight="true" outlineLevel="0" collapsed="false">
      <c r="A52" s="7" t="s">
        <v>89</v>
      </c>
      <c r="B52" s="8" t="n">
        <v>129</v>
      </c>
      <c r="C52" s="7" t="s">
        <v>90</v>
      </c>
      <c r="D52" s="9" t="s">
        <v>38</v>
      </c>
    </row>
    <row r="53" customFormat="false" ht="15" hidden="false" customHeight="true" outlineLevel="0" collapsed="false">
      <c r="A53" s="7" t="s">
        <v>91</v>
      </c>
      <c r="B53" s="8" t="n">
        <v>119</v>
      </c>
      <c r="C53" s="7" t="s">
        <v>90</v>
      </c>
      <c r="D53" s="9" t="s">
        <v>38</v>
      </c>
    </row>
    <row r="54" customFormat="false" ht="15" hidden="false" customHeight="true" outlineLevel="0" collapsed="false">
      <c r="A54" s="7" t="s">
        <v>92</v>
      </c>
      <c r="B54" s="8" t="n">
        <v>109</v>
      </c>
      <c r="C54" s="7" t="s">
        <v>90</v>
      </c>
      <c r="D54" s="9" t="s">
        <v>38</v>
      </c>
    </row>
    <row r="55" customFormat="false" ht="15" hidden="false" customHeight="true" outlineLevel="0" collapsed="false">
      <c r="A55" s="7" t="s">
        <v>93</v>
      </c>
      <c r="B55" s="8" t="n">
        <v>0.9</v>
      </c>
      <c r="C55" s="7" t="s">
        <v>8</v>
      </c>
      <c r="D55" s="9" t="s">
        <v>94</v>
      </c>
    </row>
    <row r="56" customFormat="false" ht="15" hidden="false" customHeight="true" outlineLevel="0" collapsed="false">
      <c r="A56" s="5" t="s">
        <v>95</v>
      </c>
      <c r="B56" s="6"/>
      <c r="C56" s="6"/>
      <c r="D56" s="6"/>
    </row>
    <row r="57" customFormat="false" ht="15" hidden="false" customHeight="true" outlineLevel="0" collapsed="false">
      <c r="A57" s="7" t="s">
        <v>96</v>
      </c>
      <c r="B57" s="8" t="n">
        <v>0</v>
      </c>
      <c r="C57" s="7" t="s">
        <v>90</v>
      </c>
      <c r="D57" s="9" t="s">
        <v>97</v>
      </c>
    </row>
    <row r="58" customFormat="false" ht="15" hidden="false" customHeight="true" outlineLevel="0" collapsed="false">
      <c r="A58" s="7" t="s">
        <v>98</v>
      </c>
      <c r="B58" s="8" t="n">
        <v>0</v>
      </c>
      <c r="C58" s="7" t="s">
        <v>99</v>
      </c>
      <c r="D58" s="9" t="s">
        <v>100</v>
      </c>
    </row>
    <row r="59" customFormat="false" ht="15" hidden="false" customHeight="true" outlineLevel="0" collapsed="false">
      <c r="A59" s="7" t="s">
        <v>101</v>
      </c>
      <c r="B59" s="8" t="n">
        <v>0</v>
      </c>
      <c r="C59" s="7" t="s">
        <v>102</v>
      </c>
      <c r="D59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9" min="2" style="1" width="11"/>
  </cols>
  <sheetData>
    <row r="1" customFormat="false" ht="15.75" hidden="false" customHeight="true" outlineLevel="0" collapsed="false">
      <c r="A1" s="2" t="s">
        <v>104</v>
      </c>
    </row>
    <row r="2" customFormat="false" ht="15" hidden="false" customHeight="true" outlineLevel="0" collapsed="false">
      <c r="A2" s="4" t="s">
        <v>105</v>
      </c>
    </row>
    <row r="4" customFormat="false" ht="15" hidden="false" customHeight="true" outlineLevel="0" collapsed="false">
      <c r="A4" s="10" t="s">
        <v>106</v>
      </c>
      <c r="B4" s="10" t="s">
        <v>107</v>
      </c>
      <c r="C4" s="10" t="s">
        <v>108</v>
      </c>
      <c r="D4" s="10" t="s">
        <v>109</v>
      </c>
      <c r="E4" s="10" t="s">
        <v>110</v>
      </c>
      <c r="F4" s="10" t="s">
        <v>19</v>
      </c>
      <c r="G4" s="10" t="s">
        <v>111</v>
      </c>
      <c r="H4" s="10" t="s">
        <v>112</v>
      </c>
      <c r="I4" s="10" t="s">
        <v>113</v>
      </c>
      <c r="J4" s="10" t="s">
        <v>114</v>
      </c>
      <c r="K4" s="10" t="s">
        <v>115</v>
      </c>
      <c r="L4" s="10" t="s">
        <v>116</v>
      </c>
      <c r="M4" s="10" t="s">
        <v>117</v>
      </c>
      <c r="N4" s="10" t="s">
        <v>118</v>
      </c>
      <c r="O4" s="10" t="s">
        <v>119</v>
      </c>
      <c r="P4" s="10" t="s">
        <v>120</v>
      </c>
      <c r="Q4" s="10" t="s">
        <v>121</v>
      </c>
      <c r="R4" s="10" t="s">
        <v>122</v>
      </c>
      <c r="S4" s="10" t="s">
        <v>123</v>
      </c>
      <c r="T4" s="10" t="s">
        <v>124</v>
      </c>
      <c r="U4" s="10" t="s">
        <v>125</v>
      </c>
      <c r="V4" s="10" t="s">
        <v>126</v>
      </c>
      <c r="W4" s="10" t="s">
        <v>127</v>
      </c>
      <c r="X4" s="10" t="s">
        <v>128</v>
      </c>
      <c r="Y4" s="10" t="s">
        <v>129</v>
      </c>
      <c r="Z4" s="10" t="s">
        <v>130</v>
      </c>
      <c r="AA4" s="10" t="s">
        <v>131</v>
      </c>
      <c r="AB4" s="10" t="s">
        <v>132</v>
      </c>
      <c r="AC4" s="10" t="s">
        <v>133</v>
      </c>
    </row>
    <row r="5" customFormat="false" ht="15" hidden="false" customHeight="true" outlineLevel="0" collapsed="false">
      <c r="A5" s="7" t="s">
        <v>134</v>
      </c>
      <c r="B5" s="7" t="s">
        <v>135</v>
      </c>
      <c r="C5" s="8" t="n">
        <v>1</v>
      </c>
      <c r="D5" s="8" t="n">
        <v>1</v>
      </c>
      <c r="E5" s="8" t="n">
        <v>1</v>
      </c>
      <c r="F5" s="11" t="n">
        <f aca="false">C5*Parameters!$B$12</f>
        <v>50</v>
      </c>
      <c r="G5" s="12" t="n">
        <f aca="false">F5*Parameters!$B$9</f>
        <v>18250</v>
      </c>
      <c r="H5" s="12" t="n">
        <f aca="false">C5*Parameters!$B$14*Parameters!$B$10/1000</f>
        <v>1033.68</v>
      </c>
      <c r="I5" s="12" t="n">
        <f aca="false">H5/Parameters!$B$55</f>
        <v>1148.53333333333</v>
      </c>
      <c r="J5" s="12" t="n">
        <f aca="false">I5*E5</f>
        <v>1148.53333333333</v>
      </c>
      <c r="K5" s="12" t="n">
        <f aca="false">I5*(1-E5)</f>
        <v>0</v>
      </c>
      <c r="L5" s="13" t="n">
        <f aca="false">K5*1000/Parameters!$B$50</f>
        <v>0</v>
      </c>
      <c r="M5" s="13" t="n">
        <f aca="false">C5*(Parameters!$B$12/86400)*Parameters!$B$31</f>
        <v>8.33327992208617</v>
      </c>
      <c r="N5" s="13" t="n">
        <f aca="false">D5*Parameters!$B$37*Parameters!$B$36/Parameters!$B$38</f>
        <v>16.31256</v>
      </c>
      <c r="O5" s="14" t="n">
        <f aca="false">C5*Parameters!$B$14*Parameters!$B$19/1000</f>
        <v>129.8</v>
      </c>
      <c r="P5" s="14" t="n">
        <f aca="false">Parameters!$B$32*M5^Parameters!$B$33/1000</f>
        <v>152.01193012259</v>
      </c>
      <c r="Q5" s="14" t="n">
        <f aca="false">N5*Parameters!$B$39/1000</f>
        <v>87.66369744</v>
      </c>
      <c r="R5" s="14" t="n">
        <f aca="false">D5*Parameters!$B$42/1000</f>
        <v>65</v>
      </c>
      <c r="S5" s="14" t="n">
        <f aca="false">C5*Parameters!$B$14*Parameters!$B$45/1000</f>
        <v>0.99946</v>
      </c>
      <c r="T5" s="14" t="n">
        <f aca="false">L5*Parameters!$B$48/1000</f>
        <v>0</v>
      </c>
      <c r="U5" s="14" t="n">
        <f aca="false">O5+P5+Q5+R5+S5+T5</f>
        <v>435.475087562591</v>
      </c>
      <c r="V5" s="11" t="n">
        <f aca="false">IF(C5=1,Parameters!$B$52,IF(C5=2,Parameters!$B$53,Parameters!$B$54))</f>
        <v>129</v>
      </c>
      <c r="W5" s="14" t="n">
        <f aca="false">J5*V5/1000</f>
        <v>148.1608</v>
      </c>
      <c r="X5" s="14" t="n">
        <f aca="false">O5*Parameters!$B$20+P5*Parameters!$B$34+Q5*Parameters!$B$40+R5*Parameters!$B$43+S5*Parameters!$B$46+T5*Parameters!$B$49</f>
        <v>19.3568545330072</v>
      </c>
      <c r="Y5" s="14" t="n">
        <f aca="false">W5+X5</f>
        <v>167.517654533007</v>
      </c>
      <c r="Z5" s="14" t="n">
        <f aca="false">U5*Parameters!$B$8</f>
        <v>29.2707661513237</v>
      </c>
      <c r="AA5" s="14" t="n">
        <f aca="false">Parameters!$B$8*((Parameters!$B$21*O5+P5+R5+S5)/(1+Parameters!$B$7)^10+Q5/(1+Parameters!$B$7)^15)</f>
        <v>17.3151166949812</v>
      </c>
      <c r="AB5" s="14" t="n">
        <f aca="false">Y5+Z5+AA5</f>
        <v>214.103537379312</v>
      </c>
      <c r="AC5" s="15" t="n">
        <f aca="false">AB5*1000/G5</f>
        <v>11.7317006783185</v>
      </c>
    </row>
    <row r="6" customFormat="false" ht="15" hidden="false" customHeight="true" outlineLevel="0" collapsed="false">
      <c r="A6" s="7" t="s">
        <v>136</v>
      </c>
      <c r="B6" s="7" t="s">
        <v>135</v>
      </c>
      <c r="C6" s="8" t="n">
        <v>1</v>
      </c>
      <c r="D6" s="8" t="n">
        <v>1</v>
      </c>
      <c r="E6" s="8" t="n">
        <v>0.75</v>
      </c>
      <c r="F6" s="11" t="n">
        <f aca="false">C6*Parameters!$B$12</f>
        <v>50</v>
      </c>
      <c r="G6" s="12" t="n">
        <f aca="false">F6*Parameters!$B$9</f>
        <v>18250</v>
      </c>
      <c r="H6" s="12" t="n">
        <f aca="false">C6*Parameters!$B$14*Parameters!$B$10/1000</f>
        <v>1033.68</v>
      </c>
      <c r="I6" s="12" t="n">
        <f aca="false">H6/Parameters!$B$55</f>
        <v>1148.53333333333</v>
      </c>
      <c r="J6" s="12" t="n">
        <f aca="false">I6*E6</f>
        <v>861.4</v>
      </c>
      <c r="K6" s="12" t="n">
        <f aca="false">I6*(1-E6)</f>
        <v>287.133333333333</v>
      </c>
      <c r="L6" s="13" t="n">
        <f aca="false">K6*1000/Parameters!$B$50</f>
        <v>191.805833890002</v>
      </c>
      <c r="M6" s="13" t="n">
        <f aca="false">C6*(Parameters!$B$12/86400)*Parameters!$B$31</f>
        <v>8.33327992208617</v>
      </c>
      <c r="N6" s="13" t="n">
        <f aca="false">D6*Parameters!$B$37*Parameters!$B$36/Parameters!$B$38</f>
        <v>16.31256</v>
      </c>
      <c r="O6" s="14" t="n">
        <f aca="false">C6*Parameters!$B$14*Parameters!$B$19/1000</f>
        <v>129.8</v>
      </c>
      <c r="P6" s="14" t="n">
        <f aca="false">Parameters!$B$32*M6^Parameters!$B$33/1000</f>
        <v>152.01193012259</v>
      </c>
      <c r="Q6" s="14" t="n">
        <f aca="false">N6*Parameters!$B$39/1000</f>
        <v>87.66369744</v>
      </c>
      <c r="R6" s="14" t="n">
        <f aca="false">D6*Parameters!$B$42/1000</f>
        <v>65</v>
      </c>
      <c r="S6" s="14" t="n">
        <f aca="false">C6*Parameters!$B$14*Parameters!$B$45/1000</f>
        <v>0.99946</v>
      </c>
      <c r="T6" s="14" t="n">
        <f aca="false">L6*Parameters!$B$48/1000</f>
        <v>182.215542195502</v>
      </c>
      <c r="U6" s="14" t="n">
        <f aca="false">O6+P6+Q6+R6+S6+T6</f>
        <v>617.690629758093</v>
      </c>
      <c r="V6" s="11" t="n">
        <f aca="false">IF(C6=1,Parameters!$B$52,IF(C6=2,Parameters!$B$53,Parameters!$B$54))</f>
        <v>129</v>
      </c>
      <c r="W6" s="14" t="n">
        <f aca="false">J6*V6/1000</f>
        <v>111.1206</v>
      </c>
      <c r="X6" s="14" t="n">
        <f aca="false">O6*Parameters!$B$20+P6*Parameters!$B$34+Q6*Parameters!$B$40+R6*Parameters!$B$43+S6*Parameters!$B$46+T6*Parameters!$B$49</f>
        <v>22.2358600996962</v>
      </c>
      <c r="Y6" s="14" t="n">
        <f aca="false">W6+X6</f>
        <v>133.356460099696</v>
      </c>
      <c r="Z6" s="14" t="n">
        <f aca="false">U6*Parameters!$B$8</f>
        <v>41.5185127551397</v>
      </c>
      <c r="AA6" s="14" t="n">
        <f aca="false">Parameters!$B$8*((Parameters!$B$21*O6+P6+R6+S6)/(1+Parameters!$B$7)^10+Q6/(1+Parameters!$B$7)^15)</f>
        <v>17.3151166949812</v>
      </c>
      <c r="AB6" s="14" t="n">
        <f aca="false">Y6+Z6+AA6</f>
        <v>192.190089549817</v>
      </c>
      <c r="AC6" s="15" t="n">
        <f aca="false">AB6*1000/G6</f>
        <v>10.5309638109489</v>
      </c>
    </row>
    <row r="7" customFormat="false" ht="15" hidden="false" customHeight="true" outlineLevel="0" collapsed="false">
      <c r="A7" s="7" t="s">
        <v>137</v>
      </c>
      <c r="B7" s="7" t="s">
        <v>135</v>
      </c>
      <c r="C7" s="8" t="n">
        <v>1</v>
      </c>
      <c r="D7" s="8" t="n">
        <v>1</v>
      </c>
      <c r="E7" s="8" t="n">
        <v>0.5</v>
      </c>
      <c r="F7" s="11" t="n">
        <f aca="false">C7*Parameters!$B$12</f>
        <v>50</v>
      </c>
      <c r="G7" s="12" t="n">
        <f aca="false">F7*Parameters!$B$9</f>
        <v>18250</v>
      </c>
      <c r="H7" s="12" t="n">
        <f aca="false">C7*Parameters!$B$14*Parameters!$B$10/1000</f>
        <v>1033.68</v>
      </c>
      <c r="I7" s="12" t="n">
        <f aca="false">H7/Parameters!$B$55</f>
        <v>1148.53333333333</v>
      </c>
      <c r="J7" s="12" t="n">
        <f aca="false">I7*E7</f>
        <v>574.266666666667</v>
      </c>
      <c r="K7" s="12" t="n">
        <f aca="false">I7*(1-E7)</f>
        <v>574.266666666667</v>
      </c>
      <c r="L7" s="13" t="n">
        <f aca="false">K7*1000/Parameters!$B$50</f>
        <v>383.611667780004</v>
      </c>
      <c r="M7" s="13" t="n">
        <f aca="false">C7*(Parameters!$B$12/86400)*Parameters!$B$31</f>
        <v>8.33327992208617</v>
      </c>
      <c r="N7" s="13" t="n">
        <f aca="false">D7*Parameters!$B$37*Parameters!$B$36/Parameters!$B$38</f>
        <v>16.31256</v>
      </c>
      <c r="O7" s="14" t="n">
        <f aca="false">C7*Parameters!$B$14*Parameters!$B$19/1000</f>
        <v>129.8</v>
      </c>
      <c r="P7" s="14" t="n">
        <f aca="false">Parameters!$B$32*M7^Parameters!$B$33/1000</f>
        <v>152.01193012259</v>
      </c>
      <c r="Q7" s="14" t="n">
        <f aca="false">N7*Parameters!$B$39/1000</f>
        <v>87.66369744</v>
      </c>
      <c r="R7" s="14" t="n">
        <f aca="false">D7*Parameters!$B$42/1000</f>
        <v>65</v>
      </c>
      <c r="S7" s="14" t="n">
        <f aca="false">C7*Parameters!$B$14*Parameters!$B$45/1000</f>
        <v>0.99946</v>
      </c>
      <c r="T7" s="14" t="n">
        <f aca="false">L7*Parameters!$B$48/1000</f>
        <v>364.431084391004</v>
      </c>
      <c r="U7" s="14" t="n">
        <f aca="false">O7+P7+Q7+R7+S7+T7</f>
        <v>799.906171953595</v>
      </c>
      <c r="V7" s="11" t="n">
        <f aca="false">IF(C7=1,Parameters!$B$52,IF(C7=2,Parameters!$B$53,Parameters!$B$54))</f>
        <v>129</v>
      </c>
      <c r="W7" s="14" t="n">
        <f aca="false">J7*V7/1000</f>
        <v>74.0804</v>
      </c>
      <c r="X7" s="14" t="n">
        <f aca="false">O7*Parameters!$B$20+P7*Parameters!$B$34+Q7*Parameters!$B$40+R7*Parameters!$B$43+S7*Parameters!$B$46+T7*Parameters!$B$49</f>
        <v>25.1148656663851</v>
      </c>
      <c r="Y7" s="14" t="n">
        <f aca="false">W7+X7</f>
        <v>99.1952656663851</v>
      </c>
      <c r="Z7" s="14" t="n">
        <f aca="false">U7*Parameters!$B$8</f>
        <v>53.7662593589557</v>
      </c>
      <c r="AA7" s="14" t="n">
        <f aca="false">Parameters!$B$8*((Parameters!$B$21*O7+P7+R7+S7)/(1+Parameters!$B$7)^10+Q7/(1+Parameters!$B$7)^15)</f>
        <v>17.3151166949812</v>
      </c>
      <c r="AB7" s="14" t="n">
        <f aca="false">Y7+Z7+AA7</f>
        <v>170.276641720322</v>
      </c>
      <c r="AC7" s="15" t="n">
        <f aca="false">AB7*1000/G7</f>
        <v>9.33022694357929</v>
      </c>
    </row>
    <row r="8" customFormat="false" ht="15" hidden="false" customHeight="true" outlineLevel="0" collapsed="false">
      <c r="A8" s="7" t="s">
        <v>138</v>
      </c>
      <c r="B8" s="7" t="s">
        <v>135</v>
      </c>
      <c r="C8" s="8" t="n">
        <v>1</v>
      </c>
      <c r="D8" s="8" t="n">
        <v>1</v>
      </c>
      <c r="E8" s="8" t="n">
        <v>0.25</v>
      </c>
      <c r="F8" s="11" t="n">
        <f aca="false">C8*Parameters!$B$12</f>
        <v>50</v>
      </c>
      <c r="G8" s="12" t="n">
        <f aca="false">F8*Parameters!$B$9</f>
        <v>18250</v>
      </c>
      <c r="H8" s="12" t="n">
        <f aca="false">C8*Parameters!$B$14*Parameters!$B$10/1000</f>
        <v>1033.68</v>
      </c>
      <c r="I8" s="12" t="n">
        <f aca="false">H8/Parameters!$B$55</f>
        <v>1148.53333333333</v>
      </c>
      <c r="J8" s="12" t="n">
        <f aca="false">I8*E8</f>
        <v>287.133333333333</v>
      </c>
      <c r="K8" s="12" t="n">
        <f aca="false">I8*(1-E8)</f>
        <v>861.4</v>
      </c>
      <c r="L8" s="13" t="n">
        <f aca="false">K8*1000/Parameters!$B$50</f>
        <v>575.417501670007</v>
      </c>
      <c r="M8" s="13" t="n">
        <f aca="false">C8*(Parameters!$B$12/86400)*Parameters!$B$31</f>
        <v>8.33327992208617</v>
      </c>
      <c r="N8" s="13" t="n">
        <f aca="false">D8*Parameters!$B$37*Parameters!$B$36/Parameters!$B$38</f>
        <v>16.31256</v>
      </c>
      <c r="O8" s="14" t="n">
        <f aca="false">C8*Parameters!$B$14*Parameters!$B$19/1000</f>
        <v>129.8</v>
      </c>
      <c r="P8" s="14" t="n">
        <f aca="false">Parameters!$B$32*M8^Parameters!$B$33/1000</f>
        <v>152.01193012259</v>
      </c>
      <c r="Q8" s="14" t="n">
        <f aca="false">N8*Parameters!$B$39/1000</f>
        <v>87.66369744</v>
      </c>
      <c r="R8" s="14" t="n">
        <f aca="false">D8*Parameters!$B$42/1000</f>
        <v>65</v>
      </c>
      <c r="S8" s="14" t="n">
        <f aca="false">C8*Parameters!$B$14*Parameters!$B$45/1000</f>
        <v>0.99946</v>
      </c>
      <c r="T8" s="14" t="n">
        <f aca="false">L8*Parameters!$B$48/1000</f>
        <v>546.646626586506</v>
      </c>
      <c r="U8" s="14" t="n">
        <f aca="false">O8+P8+Q8+R8+S8+T8</f>
        <v>982.121714149097</v>
      </c>
      <c r="V8" s="11" t="n">
        <f aca="false">IF(C8=1,Parameters!$B$52,IF(C8=2,Parameters!$B$53,Parameters!$B$54))</f>
        <v>129</v>
      </c>
      <c r="W8" s="14" t="n">
        <f aca="false">J8*V8/1000</f>
        <v>37.0402</v>
      </c>
      <c r="X8" s="14" t="n">
        <f aca="false">O8*Parameters!$B$20+P8*Parameters!$B$34+Q8*Parameters!$B$40+R8*Parameters!$B$43+S8*Parameters!$B$46+T8*Parameters!$B$49</f>
        <v>27.993871233074</v>
      </c>
      <c r="Y8" s="14" t="n">
        <f aca="false">W8+X8</f>
        <v>65.034071233074</v>
      </c>
      <c r="Z8" s="14" t="n">
        <f aca="false">U8*Parameters!$B$8</f>
        <v>66.0140059627717</v>
      </c>
      <c r="AA8" s="14" t="n">
        <f aca="false">Parameters!$B$8*((Parameters!$B$21*O8+P8+R8+S8)/(1+Parameters!$B$7)^10+Q8/(1+Parameters!$B$7)^15)</f>
        <v>17.3151166949812</v>
      </c>
      <c r="AB8" s="14" t="n">
        <f aca="false">Y8+Z8+AA8</f>
        <v>148.363193890827</v>
      </c>
      <c r="AC8" s="15" t="n">
        <f aca="false">AB8*1000/G8</f>
        <v>8.1294900762097</v>
      </c>
    </row>
    <row r="9" customFormat="false" ht="15" hidden="false" customHeight="true" outlineLevel="0" collapsed="false">
      <c r="A9" s="7" t="s">
        <v>139</v>
      </c>
      <c r="B9" s="7" t="s">
        <v>140</v>
      </c>
      <c r="C9" s="8" t="n">
        <v>2</v>
      </c>
      <c r="D9" s="8" t="n">
        <v>2</v>
      </c>
      <c r="E9" s="8" t="n">
        <v>1</v>
      </c>
      <c r="F9" s="11" t="n">
        <f aca="false">C9*Parameters!$B$12</f>
        <v>100</v>
      </c>
      <c r="G9" s="12" t="n">
        <f aca="false">F9*Parameters!$B$9</f>
        <v>36500</v>
      </c>
      <c r="H9" s="12" t="n">
        <f aca="false">C9*Parameters!$B$14*Parameters!$B$10/1000</f>
        <v>2067.36</v>
      </c>
      <c r="I9" s="12" t="n">
        <f aca="false">H9/Parameters!$B$55</f>
        <v>2297.06666666667</v>
      </c>
      <c r="J9" s="12" t="n">
        <f aca="false">I9*E9</f>
        <v>2297.06666666667</v>
      </c>
      <c r="K9" s="12" t="n">
        <f aca="false">I9*(1-E9)</f>
        <v>0</v>
      </c>
      <c r="L9" s="13" t="n">
        <f aca="false">K9*1000/Parameters!$B$50</f>
        <v>0</v>
      </c>
      <c r="M9" s="13" t="n">
        <f aca="false">C9*(Parameters!$B$12/86400)*Parameters!$B$31</f>
        <v>16.6665598441723</v>
      </c>
      <c r="N9" s="13" t="n">
        <f aca="false">D9*Parameters!$B$37*Parameters!$B$36/Parameters!$B$38</f>
        <v>32.62512</v>
      </c>
      <c r="O9" s="14" t="n">
        <f aca="false">C9*Parameters!$B$14*Parameters!$B$19/1000</f>
        <v>259.6</v>
      </c>
      <c r="P9" s="14" t="n">
        <f aca="false">Parameters!$B$32*M9^Parameters!$B$33/1000</f>
        <v>228.197747794206</v>
      </c>
      <c r="Q9" s="14" t="n">
        <f aca="false">N9*Parameters!$B$39/1000</f>
        <v>175.32739488</v>
      </c>
      <c r="R9" s="14" t="n">
        <f aca="false">D9*Parameters!$B$42/1000</f>
        <v>130</v>
      </c>
      <c r="S9" s="14" t="n">
        <f aca="false">C9*Parameters!$B$14*Parameters!$B$45/1000</f>
        <v>1.99892</v>
      </c>
      <c r="T9" s="14" t="n">
        <f aca="false">L9*Parameters!$B$48/1000</f>
        <v>0</v>
      </c>
      <c r="U9" s="14" t="n">
        <f aca="false">O9+P9+Q9+R9+S9+T9</f>
        <v>795.124062674206</v>
      </c>
      <c r="V9" s="11" t="n">
        <f aca="false">IF(C9=1,Parameters!$B$52,IF(C9=2,Parameters!$B$53,Parameters!$B$54))</f>
        <v>119</v>
      </c>
      <c r="W9" s="14" t="n">
        <f aca="false">J9*V9/1000</f>
        <v>273.350933333333</v>
      </c>
      <c r="X9" s="14" t="n">
        <f aca="false">O9*Parameters!$B$20+P9*Parameters!$B$34+Q9*Parameters!$B$40+R9*Parameters!$B$43+S9*Parameters!$B$46+T9*Parameters!$B$49</f>
        <v>32.6476200699365</v>
      </c>
      <c r="Y9" s="14" t="n">
        <f aca="false">W9+X9</f>
        <v>305.99855340327</v>
      </c>
      <c r="Z9" s="14" t="n">
        <f aca="false">U9*Parameters!$B$8</f>
        <v>53.4448264999361</v>
      </c>
      <c r="AA9" s="14" t="n">
        <f aca="false">Parameters!$B$8*((Parameters!$B$21*O9+P9+R9+S9)/(1+Parameters!$B$7)^10+Q9/(1+Parameters!$B$7)^15)</f>
        <v>30.8378056161461</v>
      </c>
      <c r="AB9" s="14" t="n">
        <f aca="false">Y9+Z9+AA9</f>
        <v>390.281185519352</v>
      </c>
      <c r="AC9" s="15" t="n">
        <f aca="false">AB9*1000/G9</f>
        <v>10.6926352197083</v>
      </c>
    </row>
    <row r="10" customFormat="false" ht="15" hidden="false" customHeight="true" outlineLevel="0" collapsed="false">
      <c r="A10" s="7" t="s">
        <v>141</v>
      </c>
      <c r="B10" s="7" t="s">
        <v>140</v>
      </c>
      <c r="C10" s="8" t="n">
        <v>2</v>
      </c>
      <c r="D10" s="8" t="n">
        <v>2</v>
      </c>
      <c r="E10" s="8" t="n">
        <v>0.75</v>
      </c>
      <c r="F10" s="11" t="n">
        <f aca="false">C10*Parameters!$B$12</f>
        <v>100</v>
      </c>
      <c r="G10" s="12" t="n">
        <f aca="false">F10*Parameters!$B$9</f>
        <v>36500</v>
      </c>
      <c r="H10" s="12" t="n">
        <f aca="false">C10*Parameters!$B$14*Parameters!$B$10/1000</f>
        <v>2067.36</v>
      </c>
      <c r="I10" s="12" t="n">
        <f aca="false">H10/Parameters!$B$55</f>
        <v>2297.06666666667</v>
      </c>
      <c r="J10" s="12" t="n">
        <f aca="false">I10*E10</f>
        <v>1722.8</v>
      </c>
      <c r="K10" s="12" t="n">
        <f aca="false">I10*(1-E10)</f>
        <v>574.266666666667</v>
      </c>
      <c r="L10" s="13" t="n">
        <f aca="false">K10*1000/Parameters!$B$50</f>
        <v>383.611667780004</v>
      </c>
      <c r="M10" s="13" t="n">
        <f aca="false">C10*(Parameters!$B$12/86400)*Parameters!$B$31</f>
        <v>16.6665598441723</v>
      </c>
      <c r="N10" s="13" t="n">
        <f aca="false">D10*Parameters!$B$37*Parameters!$B$36/Parameters!$B$38</f>
        <v>32.62512</v>
      </c>
      <c r="O10" s="14" t="n">
        <f aca="false">C10*Parameters!$B$14*Parameters!$B$19/1000</f>
        <v>259.6</v>
      </c>
      <c r="P10" s="14" t="n">
        <f aca="false">Parameters!$B$32*M10^Parameters!$B$33/1000</f>
        <v>228.197747794206</v>
      </c>
      <c r="Q10" s="14" t="n">
        <f aca="false">N10*Parameters!$B$39/1000</f>
        <v>175.32739488</v>
      </c>
      <c r="R10" s="14" t="n">
        <f aca="false">D10*Parameters!$B$42/1000</f>
        <v>130</v>
      </c>
      <c r="S10" s="14" t="n">
        <f aca="false">C10*Parameters!$B$14*Parameters!$B$45/1000</f>
        <v>1.99892</v>
      </c>
      <c r="T10" s="14" t="n">
        <f aca="false">L10*Parameters!$B$48/1000</f>
        <v>364.431084391004</v>
      </c>
      <c r="U10" s="14" t="n">
        <f aca="false">O10+P10+Q10+R10+S10+T10</f>
        <v>1159.55514706521</v>
      </c>
      <c r="V10" s="11" t="n">
        <f aca="false">IF(C10=1,Parameters!$B$52,IF(C10=2,Parameters!$B$53,Parameters!$B$54))</f>
        <v>119</v>
      </c>
      <c r="W10" s="14" t="n">
        <f aca="false">J10*V10/1000</f>
        <v>205.0132</v>
      </c>
      <c r="X10" s="14" t="n">
        <f aca="false">O10*Parameters!$B$20+P10*Parameters!$B$34+Q10*Parameters!$B$40+R10*Parameters!$B$43+S10*Parameters!$B$46+T10*Parameters!$B$49</f>
        <v>38.4056312033144</v>
      </c>
      <c r="Y10" s="14" t="n">
        <f aca="false">W10+X10</f>
        <v>243.418831203314</v>
      </c>
      <c r="Z10" s="14" t="n">
        <f aca="false">U10*Parameters!$B$8</f>
        <v>77.9403197075681</v>
      </c>
      <c r="AA10" s="14" t="n">
        <f aca="false">Parameters!$B$8*((Parameters!$B$21*O10+P10+R10+S10)/(1+Parameters!$B$7)^10+Q10/(1+Parameters!$B$7)^15)</f>
        <v>30.8378056161461</v>
      </c>
      <c r="AB10" s="14" t="n">
        <f aca="false">Y10+Z10+AA10</f>
        <v>352.196956527029</v>
      </c>
      <c r="AC10" s="15" t="n">
        <f aca="false">AB10*1000/G10</f>
        <v>9.64923168567202</v>
      </c>
    </row>
    <row r="11" customFormat="false" ht="15" hidden="false" customHeight="true" outlineLevel="0" collapsed="false">
      <c r="A11" s="7" t="s">
        <v>142</v>
      </c>
      <c r="B11" s="7" t="s">
        <v>140</v>
      </c>
      <c r="C11" s="8" t="n">
        <v>2</v>
      </c>
      <c r="D11" s="8" t="n">
        <v>2</v>
      </c>
      <c r="E11" s="8" t="n">
        <v>0.5</v>
      </c>
      <c r="F11" s="11" t="n">
        <f aca="false">C11*Parameters!$B$12</f>
        <v>100</v>
      </c>
      <c r="G11" s="12" t="n">
        <f aca="false">F11*Parameters!$B$9</f>
        <v>36500</v>
      </c>
      <c r="H11" s="12" t="n">
        <f aca="false">C11*Parameters!$B$14*Parameters!$B$10/1000</f>
        <v>2067.36</v>
      </c>
      <c r="I11" s="12" t="n">
        <f aca="false">H11/Parameters!$B$55</f>
        <v>2297.06666666667</v>
      </c>
      <c r="J11" s="12" t="n">
        <f aca="false">I11*E11</f>
        <v>1148.53333333333</v>
      </c>
      <c r="K11" s="12" t="n">
        <f aca="false">I11*(1-E11)</f>
        <v>1148.53333333333</v>
      </c>
      <c r="L11" s="13" t="n">
        <f aca="false">K11*1000/Parameters!$B$50</f>
        <v>767.223335560009</v>
      </c>
      <c r="M11" s="13" t="n">
        <f aca="false">C11*(Parameters!$B$12/86400)*Parameters!$B$31</f>
        <v>16.6665598441723</v>
      </c>
      <c r="N11" s="13" t="n">
        <f aca="false">D11*Parameters!$B$37*Parameters!$B$36/Parameters!$B$38</f>
        <v>32.62512</v>
      </c>
      <c r="O11" s="14" t="n">
        <f aca="false">C11*Parameters!$B$14*Parameters!$B$19/1000</f>
        <v>259.6</v>
      </c>
      <c r="P11" s="14" t="n">
        <f aca="false">Parameters!$B$32*M11^Parameters!$B$33/1000</f>
        <v>228.197747794206</v>
      </c>
      <c r="Q11" s="14" t="n">
        <f aca="false">N11*Parameters!$B$39/1000</f>
        <v>175.32739488</v>
      </c>
      <c r="R11" s="14" t="n">
        <f aca="false">D11*Parameters!$B$42/1000</f>
        <v>130</v>
      </c>
      <c r="S11" s="14" t="n">
        <f aca="false">C11*Parameters!$B$14*Parameters!$B$45/1000</f>
        <v>1.99892</v>
      </c>
      <c r="T11" s="14" t="n">
        <f aca="false">L11*Parameters!$B$48/1000</f>
        <v>728.862168782008</v>
      </c>
      <c r="U11" s="14" t="n">
        <f aca="false">O11+P11+Q11+R11+S11+T11</f>
        <v>1523.98623145621</v>
      </c>
      <c r="V11" s="11" t="n">
        <f aca="false">IF(C11=1,Parameters!$B$52,IF(C11=2,Parameters!$B$53,Parameters!$B$54))</f>
        <v>119</v>
      </c>
      <c r="W11" s="14" t="n">
        <f aca="false">J11*V11/1000</f>
        <v>136.675466666667</v>
      </c>
      <c r="X11" s="14" t="n">
        <f aca="false">O11*Parameters!$B$20+P11*Parameters!$B$34+Q11*Parameters!$B$40+R11*Parameters!$B$43+S11*Parameters!$B$46+T11*Parameters!$B$49</f>
        <v>44.1636423366922</v>
      </c>
      <c r="Y11" s="14" t="n">
        <f aca="false">W11+X11</f>
        <v>180.839109003359</v>
      </c>
      <c r="Z11" s="14" t="n">
        <f aca="false">U11*Parameters!$B$8</f>
        <v>102.4358129152</v>
      </c>
      <c r="AA11" s="14" t="n">
        <f aca="false">Parameters!$B$8*((Parameters!$B$21*O11+P11+R11+S11)/(1+Parameters!$B$7)^10+Q11/(1+Parameters!$B$7)^15)</f>
        <v>30.8378056161461</v>
      </c>
      <c r="AB11" s="14" t="n">
        <f aca="false">Y11+Z11+AA11</f>
        <v>314.112727534705</v>
      </c>
      <c r="AC11" s="15" t="n">
        <f aca="false">AB11*1000/G11</f>
        <v>8.60582815163576</v>
      </c>
    </row>
    <row r="12" customFormat="false" ht="15" hidden="false" customHeight="true" outlineLevel="0" collapsed="false">
      <c r="A12" s="7" t="s">
        <v>143</v>
      </c>
      <c r="B12" s="7" t="s">
        <v>140</v>
      </c>
      <c r="C12" s="8" t="n">
        <v>2</v>
      </c>
      <c r="D12" s="8" t="n">
        <v>2</v>
      </c>
      <c r="E12" s="8" t="n">
        <v>0.25</v>
      </c>
      <c r="F12" s="11" t="n">
        <f aca="false">C12*Parameters!$B$12</f>
        <v>100</v>
      </c>
      <c r="G12" s="12" t="n">
        <f aca="false">F12*Parameters!$B$9</f>
        <v>36500</v>
      </c>
      <c r="H12" s="12" t="n">
        <f aca="false">C12*Parameters!$B$14*Parameters!$B$10/1000</f>
        <v>2067.36</v>
      </c>
      <c r="I12" s="12" t="n">
        <f aca="false">H12/Parameters!$B$55</f>
        <v>2297.06666666667</v>
      </c>
      <c r="J12" s="12" t="n">
        <f aca="false">I12*E12</f>
        <v>574.266666666667</v>
      </c>
      <c r="K12" s="12" t="n">
        <f aca="false">I12*(1-E12)</f>
        <v>1722.8</v>
      </c>
      <c r="L12" s="13" t="n">
        <f aca="false">K12*1000/Parameters!$B$50</f>
        <v>1150.83500334001</v>
      </c>
      <c r="M12" s="13" t="n">
        <f aca="false">C12*(Parameters!$B$12/86400)*Parameters!$B$31</f>
        <v>16.6665598441723</v>
      </c>
      <c r="N12" s="13" t="n">
        <f aca="false">D12*Parameters!$B$37*Parameters!$B$36/Parameters!$B$38</f>
        <v>32.62512</v>
      </c>
      <c r="O12" s="14" t="n">
        <f aca="false">C12*Parameters!$B$14*Parameters!$B$19/1000</f>
        <v>259.6</v>
      </c>
      <c r="P12" s="14" t="n">
        <f aca="false">Parameters!$B$32*M12^Parameters!$B$33/1000</f>
        <v>228.197747794206</v>
      </c>
      <c r="Q12" s="14" t="n">
        <f aca="false">N12*Parameters!$B$39/1000</f>
        <v>175.32739488</v>
      </c>
      <c r="R12" s="14" t="n">
        <f aca="false">D12*Parameters!$B$42/1000</f>
        <v>130</v>
      </c>
      <c r="S12" s="14" t="n">
        <f aca="false">C12*Parameters!$B$14*Parameters!$B$45/1000</f>
        <v>1.99892</v>
      </c>
      <c r="T12" s="14" t="n">
        <f aca="false">L12*Parameters!$B$48/1000</f>
        <v>1093.29325317301</v>
      </c>
      <c r="U12" s="14" t="n">
        <f aca="false">O12+P12+Q12+R12+S12+T12</f>
        <v>1888.41731584722</v>
      </c>
      <c r="V12" s="11" t="n">
        <f aca="false">IF(C12=1,Parameters!$B$52,IF(C12=2,Parameters!$B$53,Parameters!$B$54))</f>
        <v>119</v>
      </c>
      <c r="W12" s="14" t="n">
        <f aca="false">J12*V12/1000</f>
        <v>68.3377333333333</v>
      </c>
      <c r="X12" s="14" t="n">
        <f aca="false">O12*Parameters!$B$20+P12*Parameters!$B$34+Q12*Parameters!$B$40+R12*Parameters!$B$43+S12*Parameters!$B$46+T12*Parameters!$B$49</f>
        <v>49.9216534700701</v>
      </c>
      <c r="Y12" s="14" t="n">
        <f aca="false">W12+X12</f>
        <v>118.259386803403</v>
      </c>
      <c r="Z12" s="14" t="n">
        <f aca="false">U12*Parameters!$B$8</f>
        <v>126.931306122832</v>
      </c>
      <c r="AA12" s="14" t="n">
        <f aca="false">Parameters!$B$8*((Parameters!$B$21*O12+P12+R12+S12)/(1+Parameters!$B$7)^10+Q12/(1+Parameters!$B$7)^15)</f>
        <v>30.8378056161461</v>
      </c>
      <c r="AB12" s="14" t="n">
        <f aca="false">Y12+Z12+AA12</f>
        <v>276.028498542382</v>
      </c>
      <c r="AC12" s="15" t="n">
        <f aca="false">AB12*1000/G12</f>
        <v>7.5624246175995</v>
      </c>
    </row>
    <row r="13" customFormat="false" ht="15" hidden="false" customHeight="true" outlineLevel="0" collapsed="false">
      <c r="A13" s="7" t="s">
        <v>144</v>
      </c>
      <c r="B13" s="7" t="s">
        <v>145</v>
      </c>
      <c r="C13" s="8" t="n">
        <v>4</v>
      </c>
      <c r="D13" s="8" t="n">
        <v>2</v>
      </c>
      <c r="E13" s="8" t="n">
        <v>1</v>
      </c>
      <c r="F13" s="11" t="n">
        <f aca="false">C13*Parameters!$B$12</f>
        <v>200</v>
      </c>
      <c r="G13" s="12" t="n">
        <f aca="false">F13*Parameters!$B$9</f>
        <v>73000</v>
      </c>
      <c r="H13" s="12" t="n">
        <f aca="false">C13*Parameters!$B$14*Parameters!$B$10/1000</f>
        <v>4134.72</v>
      </c>
      <c r="I13" s="12" t="n">
        <f aca="false">H13/Parameters!$B$55</f>
        <v>4594.13333333333</v>
      </c>
      <c r="J13" s="12" t="n">
        <f aca="false">I13*E13</f>
        <v>4594.13333333333</v>
      </c>
      <c r="K13" s="12" t="n">
        <f aca="false">I13*(1-E13)</f>
        <v>0</v>
      </c>
      <c r="L13" s="13" t="n">
        <f aca="false">K13*1000/Parameters!$B$50</f>
        <v>0</v>
      </c>
      <c r="M13" s="13" t="n">
        <f aca="false">C13*(Parameters!$B$12/86400)*Parameters!$B$31</f>
        <v>33.3331196883447</v>
      </c>
      <c r="N13" s="13" t="n">
        <f aca="false">D13*Parameters!$B$37*Parameters!$B$36/Parameters!$B$38</f>
        <v>32.62512</v>
      </c>
      <c r="O13" s="14" t="n">
        <f aca="false">C13*Parameters!$B$14*Parameters!$B$19/1000</f>
        <v>519.2</v>
      </c>
      <c r="P13" s="14" t="n">
        <f aca="false">Parameters!$B$32*M13^Parameters!$B$33/1000</f>
        <v>342.566613399046</v>
      </c>
      <c r="Q13" s="14" t="n">
        <f aca="false">N13*Parameters!$B$39/1000</f>
        <v>175.32739488</v>
      </c>
      <c r="R13" s="14" t="n">
        <f aca="false">D13*Parameters!$B$42/1000</f>
        <v>130</v>
      </c>
      <c r="S13" s="14" t="n">
        <f aca="false">C13*Parameters!$B$14*Parameters!$B$45/1000</f>
        <v>3.99784</v>
      </c>
      <c r="T13" s="14" t="n">
        <f aca="false">L13*Parameters!$B$48/1000</f>
        <v>0</v>
      </c>
      <c r="U13" s="14" t="n">
        <f aca="false">O13+P13+Q13+R13+S13+T13</f>
        <v>1171.09184827905</v>
      </c>
      <c r="V13" s="11" t="n">
        <f aca="false">IF(C13=1,Parameters!$B$52,IF(C13=2,Parameters!$B$53,Parameters!$B$54))</f>
        <v>109</v>
      </c>
      <c r="W13" s="14" t="n">
        <f aca="false">J13*V13/1000</f>
        <v>500.760533333333</v>
      </c>
      <c r="X13" s="14" t="n">
        <f aca="false">O13*Parameters!$B$20+P13*Parameters!$B$34+Q13*Parameters!$B$40+R13*Parameters!$B$43+S13*Parameters!$B$46+T13*Parameters!$B$49</f>
        <v>47.0291077183236</v>
      </c>
      <c r="Y13" s="14" t="n">
        <f aca="false">W13+X13</f>
        <v>547.789641051657</v>
      </c>
      <c r="Z13" s="14" t="n">
        <f aca="false">U13*Parameters!$B$8</f>
        <v>78.7157672429896</v>
      </c>
      <c r="AA13" s="14" t="n">
        <f aca="false">Parameters!$B$8*((Parameters!$B$21*O13+P13+R13+S13)/(1+Parameters!$B$7)^10+Q13/(1+Parameters!$B$7)^15)</f>
        <v>41.9163729623478</v>
      </c>
      <c r="AB13" s="14" t="n">
        <f aca="false">Y13+Z13+AA13</f>
        <v>668.421781256994</v>
      </c>
      <c r="AC13" s="15" t="n">
        <f aca="false">AB13*1000/G13</f>
        <v>9.15646275694513</v>
      </c>
    </row>
    <row r="14" customFormat="false" ht="15" hidden="false" customHeight="true" outlineLevel="0" collapsed="false">
      <c r="A14" s="7" t="s">
        <v>146</v>
      </c>
      <c r="B14" s="7" t="s">
        <v>145</v>
      </c>
      <c r="C14" s="8" t="n">
        <v>4</v>
      </c>
      <c r="D14" s="8" t="n">
        <v>2</v>
      </c>
      <c r="E14" s="8" t="n">
        <v>0.75</v>
      </c>
      <c r="F14" s="11" t="n">
        <f aca="false">C14*Parameters!$B$12</f>
        <v>200</v>
      </c>
      <c r="G14" s="12" t="n">
        <f aca="false">F14*Parameters!$B$9</f>
        <v>73000</v>
      </c>
      <c r="H14" s="12" t="n">
        <f aca="false">C14*Parameters!$B$14*Parameters!$B$10/1000</f>
        <v>4134.72</v>
      </c>
      <c r="I14" s="12" t="n">
        <f aca="false">H14/Parameters!$B$55</f>
        <v>4594.13333333333</v>
      </c>
      <c r="J14" s="12" t="n">
        <f aca="false">I14*E14</f>
        <v>3445.6</v>
      </c>
      <c r="K14" s="12" t="n">
        <f aca="false">I14*(1-E14)</f>
        <v>1148.53333333333</v>
      </c>
      <c r="L14" s="13" t="n">
        <f aca="false">K14*1000/Parameters!$B$50</f>
        <v>767.223335560009</v>
      </c>
      <c r="M14" s="13" t="n">
        <f aca="false">C14*(Parameters!$B$12/86400)*Parameters!$B$31</f>
        <v>33.3331196883447</v>
      </c>
      <c r="N14" s="13" t="n">
        <f aca="false">D14*Parameters!$B$37*Parameters!$B$36/Parameters!$B$38</f>
        <v>32.62512</v>
      </c>
      <c r="O14" s="14" t="n">
        <f aca="false">C14*Parameters!$B$14*Parameters!$B$19/1000</f>
        <v>519.2</v>
      </c>
      <c r="P14" s="14" t="n">
        <f aca="false">Parameters!$B$32*M14^Parameters!$B$33/1000</f>
        <v>342.566613399046</v>
      </c>
      <c r="Q14" s="14" t="n">
        <f aca="false">N14*Parameters!$B$39/1000</f>
        <v>175.32739488</v>
      </c>
      <c r="R14" s="14" t="n">
        <f aca="false">D14*Parameters!$B$42/1000</f>
        <v>130</v>
      </c>
      <c r="S14" s="14" t="n">
        <f aca="false">C14*Parameters!$B$14*Parameters!$B$45/1000</f>
        <v>3.99784</v>
      </c>
      <c r="T14" s="14" t="n">
        <f aca="false">L14*Parameters!$B$48/1000</f>
        <v>728.862168782008</v>
      </c>
      <c r="U14" s="14" t="n">
        <f aca="false">O14+P14+Q14+R14+S14+T14</f>
        <v>1899.95401706105</v>
      </c>
      <c r="V14" s="11" t="n">
        <f aca="false">IF(C14=1,Parameters!$B$52,IF(C14=2,Parameters!$B$53,Parameters!$B$54))</f>
        <v>109</v>
      </c>
      <c r="W14" s="14" t="n">
        <f aca="false">J14*V14/1000</f>
        <v>375.5704</v>
      </c>
      <c r="X14" s="14" t="n">
        <f aca="false">O14*Parameters!$B$20+P14*Parameters!$B$34+Q14*Parameters!$B$40+R14*Parameters!$B$43+S14*Parameters!$B$46+T14*Parameters!$B$49</f>
        <v>58.5451299850794</v>
      </c>
      <c r="Y14" s="14" t="n">
        <f aca="false">W14+X14</f>
        <v>434.115529985079</v>
      </c>
      <c r="Z14" s="14" t="n">
        <f aca="false">U14*Parameters!$B$8</f>
        <v>127.706753658254</v>
      </c>
      <c r="AA14" s="14" t="n">
        <f aca="false">Parameters!$B$8*((Parameters!$B$21*O14+P14+R14+S14)/(1+Parameters!$B$7)^10+Q14/(1+Parameters!$B$7)^15)</f>
        <v>41.9163729623478</v>
      </c>
      <c r="AB14" s="14" t="n">
        <f aca="false">Y14+Z14+AA14</f>
        <v>603.738656605681</v>
      </c>
      <c r="AC14" s="15" t="n">
        <f aca="false">AB14*1000/G14</f>
        <v>8.2703925562422</v>
      </c>
    </row>
    <row r="15" customFormat="false" ht="15" hidden="false" customHeight="true" outlineLevel="0" collapsed="false">
      <c r="A15" s="7" t="s">
        <v>147</v>
      </c>
      <c r="B15" s="7" t="s">
        <v>145</v>
      </c>
      <c r="C15" s="8" t="n">
        <v>4</v>
      </c>
      <c r="D15" s="8" t="n">
        <v>2</v>
      </c>
      <c r="E15" s="8" t="n">
        <v>0.5</v>
      </c>
      <c r="F15" s="11" t="n">
        <f aca="false">C15*Parameters!$B$12</f>
        <v>200</v>
      </c>
      <c r="G15" s="12" t="n">
        <f aca="false">F15*Parameters!$B$9</f>
        <v>73000</v>
      </c>
      <c r="H15" s="12" t="n">
        <f aca="false">C15*Parameters!$B$14*Parameters!$B$10/1000</f>
        <v>4134.72</v>
      </c>
      <c r="I15" s="12" t="n">
        <f aca="false">H15/Parameters!$B$55</f>
        <v>4594.13333333333</v>
      </c>
      <c r="J15" s="12" t="n">
        <f aca="false">I15*E15</f>
        <v>2297.06666666667</v>
      </c>
      <c r="K15" s="12" t="n">
        <f aca="false">I15*(1-E15)</f>
        <v>2297.06666666667</v>
      </c>
      <c r="L15" s="13" t="n">
        <f aca="false">K15*1000/Parameters!$B$50</f>
        <v>1534.44667112002</v>
      </c>
      <c r="M15" s="13" t="n">
        <f aca="false">C15*(Parameters!$B$12/86400)*Parameters!$B$31</f>
        <v>33.3331196883447</v>
      </c>
      <c r="N15" s="13" t="n">
        <f aca="false">D15*Parameters!$B$37*Parameters!$B$36/Parameters!$B$38</f>
        <v>32.62512</v>
      </c>
      <c r="O15" s="14" t="n">
        <f aca="false">C15*Parameters!$B$14*Parameters!$B$19/1000</f>
        <v>519.2</v>
      </c>
      <c r="P15" s="14" t="n">
        <f aca="false">Parameters!$B$32*M15^Parameters!$B$33/1000</f>
        <v>342.566613399046</v>
      </c>
      <c r="Q15" s="14" t="n">
        <f aca="false">N15*Parameters!$B$39/1000</f>
        <v>175.32739488</v>
      </c>
      <c r="R15" s="14" t="n">
        <f aca="false">D15*Parameters!$B$42/1000</f>
        <v>130</v>
      </c>
      <c r="S15" s="14" t="n">
        <f aca="false">C15*Parameters!$B$14*Parameters!$B$45/1000</f>
        <v>3.99784</v>
      </c>
      <c r="T15" s="14" t="n">
        <f aca="false">L15*Parameters!$B$48/1000</f>
        <v>1457.72433756402</v>
      </c>
      <c r="U15" s="14" t="n">
        <f aca="false">O15+P15+Q15+R15+S15+T15</f>
        <v>2628.81618584306</v>
      </c>
      <c r="V15" s="11" t="n">
        <f aca="false">IF(C15=1,Parameters!$B$52,IF(C15=2,Parameters!$B$53,Parameters!$B$54))</f>
        <v>109</v>
      </c>
      <c r="W15" s="14" t="n">
        <f aca="false">J15*V15/1000</f>
        <v>250.380266666667</v>
      </c>
      <c r="X15" s="14" t="n">
        <f aca="false">O15*Parameters!$B$20+P15*Parameters!$B$34+Q15*Parameters!$B$40+R15*Parameters!$B$43+S15*Parameters!$B$46+T15*Parameters!$B$49</f>
        <v>70.0611522518351</v>
      </c>
      <c r="Y15" s="14" t="n">
        <f aca="false">W15+X15</f>
        <v>320.441418918502</v>
      </c>
      <c r="Z15" s="14" t="n">
        <f aca="false">U15*Parameters!$B$8</f>
        <v>176.697740073518</v>
      </c>
      <c r="AA15" s="14" t="n">
        <f aca="false">Parameters!$B$8*((Parameters!$B$21*O15+P15+R15+S15)/(1+Parameters!$B$7)^10+Q15/(1+Parameters!$B$7)^15)</f>
        <v>41.9163729623478</v>
      </c>
      <c r="AB15" s="14" t="n">
        <f aca="false">Y15+Z15+AA15</f>
        <v>539.055531954367</v>
      </c>
      <c r="AC15" s="15" t="n">
        <f aca="false">AB15*1000/G15</f>
        <v>7.38432235553928</v>
      </c>
    </row>
    <row r="16" customFormat="false" ht="15" hidden="false" customHeight="true" outlineLevel="0" collapsed="false">
      <c r="A16" s="7" t="s">
        <v>148</v>
      </c>
      <c r="B16" s="7" t="s">
        <v>145</v>
      </c>
      <c r="C16" s="8" t="n">
        <v>4</v>
      </c>
      <c r="D16" s="8" t="n">
        <v>2</v>
      </c>
      <c r="E16" s="8" t="n">
        <v>0.25</v>
      </c>
      <c r="F16" s="11" t="n">
        <f aca="false">C16*Parameters!$B$12</f>
        <v>200</v>
      </c>
      <c r="G16" s="12" t="n">
        <f aca="false">F16*Parameters!$B$9</f>
        <v>73000</v>
      </c>
      <c r="H16" s="12" t="n">
        <f aca="false">C16*Parameters!$B$14*Parameters!$B$10/1000</f>
        <v>4134.72</v>
      </c>
      <c r="I16" s="12" t="n">
        <f aca="false">H16/Parameters!$B$55</f>
        <v>4594.13333333333</v>
      </c>
      <c r="J16" s="12" t="n">
        <f aca="false">I16*E16</f>
        <v>1148.53333333333</v>
      </c>
      <c r="K16" s="12" t="n">
        <f aca="false">I16*(1-E16)</f>
        <v>3445.6</v>
      </c>
      <c r="L16" s="13" t="n">
        <f aca="false">K16*1000/Parameters!$B$50</f>
        <v>2301.67000668003</v>
      </c>
      <c r="M16" s="13" t="n">
        <f aca="false">C16*(Parameters!$B$12/86400)*Parameters!$B$31</f>
        <v>33.3331196883447</v>
      </c>
      <c r="N16" s="13" t="n">
        <f aca="false">D16*Parameters!$B$37*Parameters!$B$36/Parameters!$B$38</f>
        <v>32.62512</v>
      </c>
      <c r="O16" s="14" t="n">
        <f aca="false">C16*Parameters!$B$14*Parameters!$B$19/1000</f>
        <v>519.2</v>
      </c>
      <c r="P16" s="14" t="n">
        <f aca="false">Parameters!$B$32*M16^Parameters!$B$33/1000</f>
        <v>342.566613399046</v>
      </c>
      <c r="Q16" s="14" t="n">
        <f aca="false">N16*Parameters!$B$39/1000</f>
        <v>175.32739488</v>
      </c>
      <c r="R16" s="14" t="n">
        <f aca="false">D16*Parameters!$B$42/1000</f>
        <v>130</v>
      </c>
      <c r="S16" s="14" t="n">
        <f aca="false">C16*Parameters!$B$14*Parameters!$B$45/1000</f>
        <v>3.99784</v>
      </c>
      <c r="T16" s="14" t="n">
        <f aca="false">L16*Parameters!$B$48/1000</f>
        <v>2186.58650634603</v>
      </c>
      <c r="U16" s="14" t="n">
        <f aca="false">O16+P16+Q16+R16+S16+T16</f>
        <v>3357.67835462507</v>
      </c>
      <c r="V16" s="11" t="n">
        <f aca="false">IF(C16=1,Parameters!$B$52,IF(C16=2,Parameters!$B$53,Parameters!$B$54))</f>
        <v>109</v>
      </c>
      <c r="W16" s="14" t="n">
        <f aca="false">J16*V16/1000</f>
        <v>125.190133333333</v>
      </c>
      <c r="X16" s="14" t="n">
        <f aca="false">O16*Parameters!$B$20+P16*Parameters!$B$34+Q16*Parameters!$B$40+R16*Parameters!$B$43+S16*Parameters!$B$46+T16*Parameters!$B$49</f>
        <v>81.5771745185909</v>
      </c>
      <c r="Y16" s="14" t="n">
        <f aca="false">W16+X16</f>
        <v>206.767307851924</v>
      </c>
      <c r="Z16" s="14" t="n">
        <f aca="false">U16*Parameters!$B$8</f>
        <v>225.688726488782</v>
      </c>
      <c r="AA16" s="14" t="n">
        <f aca="false">Parameters!$B$8*((Parameters!$B$21*O16+P16+R16+S16)/(1+Parameters!$B$7)^10+Q16/(1+Parameters!$B$7)^15)</f>
        <v>41.9163729623478</v>
      </c>
      <c r="AB16" s="14" t="n">
        <f aca="false">Y16+Z16+AA16</f>
        <v>474.372407303054</v>
      </c>
      <c r="AC16" s="15" t="n">
        <f aca="false">AB16*1000/G16</f>
        <v>6.49825215483635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9" min="2" style="1" width="11"/>
  </cols>
  <sheetData>
    <row r="1" customFormat="false" ht="15.75" hidden="false" customHeight="true" outlineLevel="0" collapsed="false">
      <c r="A1" s="2" t="s">
        <v>149</v>
      </c>
    </row>
    <row r="2" customFormat="false" ht="15" hidden="false" customHeight="true" outlineLevel="0" collapsed="false">
      <c r="A2" s="4" t="s">
        <v>105</v>
      </c>
    </row>
    <row r="4" customFormat="false" ht="15" hidden="false" customHeight="true" outlineLevel="0" collapsed="false">
      <c r="A4" s="10" t="s">
        <v>106</v>
      </c>
      <c r="B4" s="10" t="s">
        <v>107</v>
      </c>
      <c r="C4" s="10" t="s">
        <v>108</v>
      </c>
      <c r="D4" s="10" t="s">
        <v>109</v>
      </c>
      <c r="E4" s="10" t="s">
        <v>110</v>
      </c>
      <c r="F4" s="10" t="s">
        <v>19</v>
      </c>
      <c r="G4" s="10" t="s">
        <v>111</v>
      </c>
      <c r="H4" s="10" t="s">
        <v>112</v>
      </c>
      <c r="I4" s="10" t="s">
        <v>113</v>
      </c>
      <c r="J4" s="10" t="s">
        <v>114</v>
      </c>
      <c r="K4" s="10" t="s">
        <v>115</v>
      </c>
      <c r="L4" s="10" t="s">
        <v>116</v>
      </c>
      <c r="M4" s="10" t="s">
        <v>117</v>
      </c>
      <c r="N4" s="10" t="s">
        <v>118</v>
      </c>
      <c r="O4" s="10" t="s">
        <v>119</v>
      </c>
      <c r="P4" s="10" t="s">
        <v>120</v>
      </c>
      <c r="Q4" s="10" t="s">
        <v>121</v>
      </c>
      <c r="R4" s="10" t="s">
        <v>122</v>
      </c>
      <c r="S4" s="10" t="s">
        <v>123</v>
      </c>
      <c r="T4" s="10" t="s">
        <v>124</v>
      </c>
      <c r="U4" s="10" t="s">
        <v>125</v>
      </c>
      <c r="V4" s="10" t="s">
        <v>126</v>
      </c>
      <c r="W4" s="10" t="s">
        <v>127</v>
      </c>
      <c r="X4" s="10" t="s">
        <v>128</v>
      </c>
      <c r="Y4" s="10" t="s">
        <v>129</v>
      </c>
      <c r="Z4" s="10" t="s">
        <v>130</v>
      </c>
      <c r="AA4" s="10" t="s">
        <v>131</v>
      </c>
      <c r="AB4" s="10" t="s">
        <v>132</v>
      </c>
      <c r="AC4" s="10" t="s">
        <v>133</v>
      </c>
    </row>
    <row r="5" customFormat="false" ht="15" hidden="false" customHeight="true" outlineLevel="0" collapsed="false">
      <c r="A5" s="7" t="s">
        <v>134</v>
      </c>
      <c r="B5" s="7" t="s">
        <v>135</v>
      </c>
      <c r="C5" s="8" t="n">
        <v>1</v>
      </c>
      <c r="D5" s="8" t="n">
        <v>1</v>
      </c>
      <c r="E5" s="8" t="n">
        <v>1</v>
      </c>
      <c r="F5" s="11" t="n">
        <f aca="false">C5*Parameters!$B$12</f>
        <v>50</v>
      </c>
      <c r="G5" s="12" t="n">
        <f aca="false">F5*Parameters!$B$9</f>
        <v>18250</v>
      </c>
      <c r="H5" s="12" t="n">
        <f aca="false">C5*Parameters!$B$14*Parameters!$B$10/1000</f>
        <v>1033.68</v>
      </c>
      <c r="I5" s="12" t="n">
        <f aca="false">H5/Parameters!$B$55</f>
        <v>1148.53333333333</v>
      </c>
      <c r="J5" s="12" t="n">
        <f aca="false">I5*E5</f>
        <v>1148.53333333333</v>
      </c>
      <c r="K5" s="12" t="n">
        <f aca="false">I5*(1-E5)</f>
        <v>0</v>
      </c>
      <c r="L5" s="13" t="n">
        <f aca="false">K5*1000/Parameters!$B$51</f>
        <v>0</v>
      </c>
      <c r="M5" s="13" t="n">
        <f aca="false">C5*(Parameters!$B$12/86400)*Parameters!$B$31</f>
        <v>8.33327992208617</v>
      </c>
      <c r="N5" s="13" t="n">
        <f aca="false">D5*Parameters!$B$37*Parameters!$B$36/Parameters!$B$38</f>
        <v>16.31256</v>
      </c>
      <c r="O5" s="14" t="n">
        <f aca="false">C5*Parameters!$B$14*Parameters!$B$19/1000</f>
        <v>129.8</v>
      </c>
      <c r="P5" s="14" t="n">
        <f aca="false">Parameters!$B$32*M5^Parameters!$B$33/1000</f>
        <v>152.01193012259</v>
      </c>
      <c r="Q5" s="14" t="n">
        <f aca="false">N5*Parameters!$B$39/1000</f>
        <v>87.66369744</v>
      </c>
      <c r="R5" s="14" t="n">
        <f aca="false">D5*Parameters!$B$42/1000</f>
        <v>65</v>
      </c>
      <c r="S5" s="14" t="n">
        <f aca="false">C5*Parameters!$B$14*Parameters!$B$45/1000</f>
        <v>0.99946</v>
      </c>
      <c r="T5" s="14" t="n">
        <f aca="false">L5*Parameters!$B$48/1000</f>
        <v>0</v>
      </c>
      <c r="U5" s="14" t="n">
        <f aca="false">O5+P5+Q5+R5+S5+T5</f>
        <v>435.475087562591</v>
      </c>
      <c r="V5" s="11" t="n">
        <f aca="false">IF(C5=1,Parameters!$B$52,IF(C5=2,Parameters!$B$53,Parameters!$B$54))</f>
        <v>129</v>
      </c>
      <c r="W5" s="14" t="n">
        <f aca="false">J5*V5/1000</f>
        <v>148.1608</v>
      </c>
      <c r="X5" s="14" t="n">
        <f aca="false">O5*Parameters!$B$20+P5*Parameters!$B$34+Q5*Parameters!$B$40+R5*Parameters!$B$43+S5*Parameters!$B$46+T5*Parameters!$B$49</f>
        <v>19.3568545330072</v>
      </c>
      <c r="Y5" s="14" t="n">
        <f aca="false">W5+X5</f>
        <v>167.517654533007</v>
      </c>
      <c r="Z5" s="14" t="n">
        <f aca="false">U5*Parameters!$B$8</f>
        <v>29.2707661513237</v>
      </c>
      <c r="AA5" s="14" t="n">
        <f aca="false">Parameters!$B$8*((Parameters!$B$21*O5+P5+R5+S5)/(1+Parameters!$B$7)^10+Q5/(1+Parameters!$B$7)^15)</f>
        <v>17.3151166949812</v>
      </c>
      <c r="AB5" s="14" t="n">
        <f aca="false">Y5+Z5+AA5</f>
        <v>214.103537379312</v>
      </c>
      <c r="AC5" s="15" t="n">
        <f aca="false">AB5*1000/G5</f>
        <v>11.7317006783185</v>
      </c>
    </row>
    <row r="6" customFormat="false" ht="15" hidden="false" customHeight="true" outlineLevel="0" collapsed="false">
      <c r="A6" s="7" t="s">
        <v>136</v>
      </c>
      <c r="B6" s="7" t="s">
        <v>135</v>
      </c>
      <c r="C6" s="8" t="n">
        <v>1</v>
      </c>
      <c r="D6" s="8" t="n">
        <v>1</v>
      </c>
      <c r="E6" s="8" t="n">
        <v>0.75</v>
      </c>
      <c r="F6" s="11" t="n">
        <f aca="false">C6*Parameters!$B$12</f>
        <v>50</v>
      </c>
      <c r="G6" s="12" t="n">
        <f aca="false">F6*Parameters!$B$9</f>
        <v>18250</v>
      </c>
      <c r="H6" s="12" t="n">
        <f aca="false">C6*Parameters!$B$14*Parameters!$B$10/1000</f>
        <v>1033.68</v>
      </c>
      <c r="I6" s="12" t="n">
        <f aca="false">H6/Parameters!$B$55</f>
        <v>1148.53333333333</v>
      </c>
      <c r="J6" s="12" t="n">
        <f aca="false">I6*E6</f>
        <v>861.4</v>
      </c>
      <c r="K6" s="12" t="n">
        <f aca="false">I6*(1-E6)</f>
        <v>287.133333333333</v>
      </c>
      <c r="L6" s="13" t="n">
        <f aca="false">K6*1000/Parameters!$B$51</f>
        <v>209.739469198929</v>
      </c>
      <c r="M6" s="13" t="n">
        <f aca="false">C6*(Parameters!$B$12/86400)*Parameters!$B$31</f>
        <v>8.33327992208617</v>
      </c>
      <c r="N6" s="13" t="n">
        <f aca="false">D6*Parameters!$B$37*Parameters!$B$36/Parameters!$B$38</f>
        <v>16.31256</v>
      </c>
      <c r="O6" s="14" t="n">
        <f aca="false">C6*Parameters!$B$14*Parameters!$B$19/1000</f>
        <v>129.8</v>
      </c>
      <c r="P6" s="14" t="n">
        <f aca="false">Parameters!$B$32*M6^Parameters!$B$33/1000</f>
        <v>152.01193012259</v>
      </c>
      <c r="Q6" s="14" t="n">
        <f aca="false">N6*Parameters!$B$39/1000</f>
        <v>87.66369744</v>
      </c>
      <c r="R6" s="14" t="n">
        <f aca="false">D6*Parameters!$B$42/1000</f>
        <v>65</v>
      </c>
      <c r="S6" s="14" t="n">
        <f aca="false">C6*Parameters!$B$14*Parameters!$B$45/1000</f>
        <v>0.99946</v>
      </c>
      <c r="T6" s="14" t="n">
        <f aca="false">L6*Parameters!$B$48/1000</f>
        <v>199.252495738982</v>
      </c>
      <c r="U6" s="14" t="n">
        <f aca="false">O6+P6+Q6+R6+S6+T6</f>
        <v>634.727583301573</v>
      </c>
      <c r="V6" s="11" t="n">
        <f aca="false">IF(C6=1,Parameters!$B$52,IF(C6=2,Parameters!$B$53,Parameters!$B$54))</f>
        <v>129</v>
      </c>
      <c r="W6" s="14" t="n">
        <f aca="false">J6*V6/1000</f>
        <v>111.1206</v>
      </c>
      <c r="X6" s="14" t="n">
        <f aca="false">O6*Parameters!$B$20+P6*Parameters!$B$34+Q6*Parameters!$B$40+R6*Parameters!$B$43+S6*Parameters!$B$46+T6*Parameters!$B$49</f>
        <v>22.5050439656832</v>
      </c>
      <c r="Y6" s="14" t="n">
        <f aca="false">W6+X6</f>
        <v>133.625643965683</v>
      </c>
      <c r="Z6" s="14" t="n">
        <f aca="false">U6*Parameters!$B$8</f>
        <v>42.6636636428595</v>
      </c>
      <c r="AA6" s="14" t="n">
        <f aca="false">Parameters!$B$8*((Parameters!$B$21*O6+P6+R6+S6)/(1+Parameters!$B$7)^10+Q6/(1+Parameters!$B$7)^15)</f>
        <v>17.3151166949812</v>
      </c>
      <c r="AB6" s="14" t="n">
        <f aca="false">Y6+Z6+AA6</f>
        <v>193.604424303524</v>
      </c>
      <c r="AC6" s="15" t="n">
        <f aca="false">AB6*1000/G6</f>
        <v>10.6084616056725</v>
      </c>
    </row>
    <row r="7" customFormat="false" ht="15" hidden="false" customHeight="true" outlineLevel="0" collapsed="false">
      <c r="A7" s="7" t="s">
        <v>137</v>
      </c>
      <c r="B7" s="7" t="s">
        <v>135</v>
      </c>
      <c r="C7" s="8" t="n">
        <v>1</v>
      </c>
      <c r="D7" s="8" t="n">
        <v>1</v>
      </c>
      <c r="E7" s="8" t="n">
        <v>0.5</v>
      </c>
      <c r="F7" s="11" t="n">
        <f aca="false">C7*Parameters!$B$12</f>
        <v>50</v>
      </c>
      <c r="G7" s="12" t="n">
        <f aca="false">F7*Parameters!$B$9</f>
        <v>18250</v>
      </c>
      <c r="H7" s="12" t="n">
        <f aca="false">C7*Parameters!$B$14*Parameters!$B$10/1000</f>
        <v>1033.68</v>
      </c>
      <c r="I7" s="12" t="n">
        <f aca="false">H7/Parameters!$B$55</f>
        <v>1148.53333333333</v>
      </c>
      <c r="J7" s="12" t="n">
        <f aca="false">I7*E7</f>
        <v>574.266666666667</v>
      </c>
      <c r="K7" s="12" t="n">
        <f aca="false">I7*(1-E7)</f>
        <v>574.266666666667</v>
      </c>
      <c r="L7" s="13" t="n">
        <f aca="false">K7*1000/Parameters!$B$51</f>
        <v>419.478938397857</v>
      </c>
      <c r="M7" s="13" t="n">
        <f aca="false">C7*(Parameters!$B$12/86400)*Parameters!$B$31</f>
        <v>8.33327992208617</v>
      </c>
      <c r="N7" s="13" t="n">
        <f aca="false">D7*Parameters!$B$37*Parameters!$B$36/Parameters!$B$38</f>
        <v>16.31256</v>
      </c>
      <c r="O7" s="14" t="n">
        <f aca="false">C7*Parameters!$B$14*Parameters!$B$19/1000</f>
        <v>129.8</v>
      </c>
      <c r="P7" s="14" t="n">
        <f aca="false">Parameters!$B$32*M7^Parameters!$B$33/1000</f>
        <v>152.01193012259</v>
      </c>
      <c r="Q7" s="14" t="n">
        <f aca="false">N7*Parameters!$B$39/1000</f>
        <v>87.66369744</v>
      </c>
      <c r="R7" s="14" t="n">
        <f aca="false">D7*Parameters!$B$42/1000</f>
        <v>65</v>
      </c>
      <c r="S7" s="14" t="n">
        <f aca="false">C7*Parameters!$B$14*Parameters!$B$45/1000</f>
        <v>0.99946</v>
      </c>
      <c r="T7" s="14" t="n">
        <f aca="false">L7*Parameters!$B$48/1000</f>
        <v>398.504991477964</v>
      </c>
      <c r="U7" s="14" t="n">
        <f aca="false">O7+P7+Q7+R7+S7+T7</f>
        <v>833.980079040555</v>
      </c>
      <c r="V7" s="11" t="n">
        <f aca="false">IF(C7=1,Parameters!$B$52,IF(C7=2,Parameters!$B$53,Parameters!$B$54))</f>
        <v>129</v>
      </c>
      <c r="W7" s="14" t="n">
        <f aca="false">J7*V7/1000</f>
        <v>74.0804</v>
      </c>
      <c r="X7" s="14" t="n">
        <f aca="false">O7*Parameters!$B$20+P7*Parameters!$B$34+Q7*Parameters!$B$40+R7*Parameters!$B$43+S7*Parameters!$B$46+T7*Parameters!$B$49</f>
        <v>25.6532333983591</v>
      </c>
      <c r="Y7" s="14" t="n">
        <f aca="false">W7+X7</f>
        <v>99.7336333983591</v>
      </c>
      <c r="Z7" s="14" t="n">
        <f aca="false">U7*Parameters!$B$8</f>
        <v>56.0565611343954</v>
      </c>
      <c r="AA7" s="14" t="n">
        <f aca="false">Parameters!$B$8*((Parameters!$B$21*O7+P7+R7+S7)/(1+Parameters!$B$7)^10+Q7/(1+Parameters!$B$7)^15)</f>
        <v>17.3151166949812</v>
      </c>
      <c r="AB7" s="14" t="n">
        <f aca="false">Y7+Z7+AA7</f>
        <v>173.105311227736</v>
      </c>
      <c r="AC7" s="15" t="n">
        <f aca="false">AB7*1000/G7</f>
        <v>9.48522253302661</v>
      </c>
    </row>
    <row r="8" customFormat="false" ht="15" hidden="false" customHeight="true" outlineLevel="0" collapsed="false">
      <c r="A8" s="7" t="s">
        <v>138</v>
      </c>
      <c r="B8" s="7" t="s">
        <v>135</v>
      </c>
      <c r="C8" s="8" t="n">
        <v>1</v>
      </c>
      <c r="D8" s="8" t="n">
        <v>1</v>
      </c>
      <c r="E8" s="8" t="n">
        <v>0.25</v>
      </c>
      <c r="F8" s="11" t="n">
        <f aca="false">C8*Parameters!$B$12</f>
        <v>50</v>
      </c>
      <c r="G8" s="12" t="n">
        <f aca="false">F8*Parameters!$B$9</f>
        <v>18250</v>
      </c>
      <c r="H8" s="12" t="n">
        <f aca="false">C8*Parameters!$B$14*Parameters!$B$10/1000</f>
        <v>1033.68</v>
      </c>
      <c r="I8" s="12" t="n">
        <f aca="false">H8/Parameters!$B$55</f>
        <v>1148.53333333333</v>
      </c>
      <c r="J8" s="12" t="n">
        <f aca="false">I8*E8</f>
        <v>287.133333333333</v>
      </c>
      <c r="K8" s="12" t="n">
        <f aca="false">I8*(1-E8)</f>
        <v>861.4</v>
      </c>
      <c r="L8" s="13" t="n">
        <f aca="false">K8*1000/Parameters!$B$51</f>
        <v>629.218407596786</v>
      </c>
      <c r="M8" s="13" t="n">
        <f aca="false">C8*(Parameters!$B$12/86400)*Parameters!$B$31</f>
        <v>8.33327992208617</v>
      </c>
      <c r="N8" s="13" t="n">
        <f aca="false">D8*Parameters!$B$37*Parameters!$B$36/Parameters!$B$38</f>
        <v>16.31256</v>
      </c>
      <c r="O8" s="14" t="n">
        <f aca="false">C8*Parameters!$B$14*Parameters!$B$19/1000</f>
        <v>129.8</v>
      </c>
      <c r="P8" s="14" t="n">
        <f aca="false">Parameters!$B$32*M8^Parameters!$B$33/1000</f>
        <v>152.01193012259</v>
      </c>
      <c r="Q8" s="14" t="n">
        <f aca="false">N8*Parameters!$B$39/1000</f>
        <v>87.66369744</v>
      </c>
      <c r="R8" s="14" t="n">
        <f aca="false">D8*Parameters!$B$42/1000</f>
        <v>65</v>
      </c>
      <c r="S8" s="14" t="n">
        <f aca="false">C8*Parameters!$B$14*Parameters!$B$45/1000</f>
        <v>0.99946</v>
      </c>
      <c r="T8" s="14" t="n">
        <f aca="false">L8*Parameters!$B$48/1000</f>
        <v>597.757487216947</v>
      </c>
      <c r="U8" s="14" t="n">
        <f aca="false">O8+P8+Q8+R8+S8+T8</f>
        <v>1033.23257477954</v>
      </c>
      <c r="V8" s="11" t="n">
        <f aca="false">IF(C8=1,Parameters!$B$52,IF(C8=2,Parameters!$B$53,Parameters!$B$54))</f>
        <v>129</v>
      </c>
      <c r="W8" s="14" t="n">
        <f aca="false">J8*V8/1000</f>
        <v>37.0402</v>
      </c>
      <c r="X8" s="14" t="n">
        <f aca="false">O8*Parameters!$B$20+P8*Parameters!$B$34+Q8*Parameters!$B$40+R8*Parameters!$B$43+S8*Parameters!$B$46+T8*Parameters!$B$49</f>
        <v>28.801422831035</v>
      </c>
      <c r="Y8" s="14" t="n">
        <f aca="false">W8+X8</f>
        <v>65.841622831035</v>
      </c>
      <c r="Z8" s="14" t="n">
        <f aca="false">U8*Parameters!$B$8</f>
        <v>69.4494586259312</v>
      </c>
      <c r="AA8" s="14" t="n">
        <f aca="false">Parameters!$B$8*((Parameters!$B$21*O8+P8+R8+S8)/(1+Parameters!$B$7)^10+Q8/(1+Parameters!$B$7)^15)</f>
        <v>17.3151166949812</v>
      </c>
      <c r="AB8" s="14" t="n">
        <f aca="false">Y8+Z8+AA8</f>
        <v>152.606198151947</v>
      </c>
      <c r="AC8" s="15" t="n">
        <f aca="false">AB8*1000/G8</f>
        <v>8.36198346038068</v>
      </c>
    </row>
    <row r="9" customFormat="false" ht="15" hidden="false" customHeight="true" outlineLevel="0" collapsed="false">
      <c r="A9" s="7" t="s">
        <v>139</v>
      </c>
      <c r="B9" s="7" t="s">
        <v>140</v>
      </c>
      <c r="C9" s="8" t="n">
        <v>2</v>
      </c>
      <c r="D9" s="8" t="n">
        <v>2</v>
      </c>
      <c r="E9" s="8" t="n">
        <v>1</v>
      </c>
      <c r="F9" s="11" t="n">
        <f aca="false">C9*Parameters!$B$12</f>
        <v>100</v>
      </c>
      <c r="G9" s="12" t="n">
        <f aca="false">F9*Parameters!$B$9</f>
        <v>36500</v>
      </c>
      <c r="H9" s="12" t="n">
        <f aca="false">C9*Parameters!$B$14*Parameters!$B$10/1000</f>
        <v>2067.36</v>
      </c>
      <c r="I9" s="12" t="n">
        <f aca="false">H9/Parameters!$B$55</f>
        <v>2297.06666666667</v>
      </c>
      <c r="J9" s="12" t="n">
        <f aca="false">I9*E9</f>
        <v>2297.06666666667</v>
      </c>
      <c r="K9" s="12" t="n">
        <f aca="false">I9*(1-E9)</f>
        <v>0</v>
      </c>
      <c r="L9" s="13" t="n">
        <f aca="false">K9*1000/Parameters!$B$51</f>
        <v>0</v>
      </c>
      <c r="M9" s="13" t="n">
        <f aca="false">C9*(Parameters!$B$12/86400)*Parameters!$B$31</f>
        <v>16.6665598441723</v>
      </c>
      <c r="N9" s="13" t="n">
        <f aca="false">D9*Parameters!$B$37*Parameters!$B$36/Parameters!$B$38</f>
        <v>32.62512</v>
      </c>
      <c r="O9" s="14" t="n">
        <f aca="false">C9*Parameters!$B$14*Parameters!$B$19/1000</f>
        <v>259.6</v>
      </c>
      <c r="P9" s="14" t="n">
        <f aca="false">Parameters!$B$32*M9^Parameters!$B$33/1000</f>
        <v>228.197747794206</v>
      </c>
      <c r="Q9" s="14" t="n">
        <f aca="false">N9*Parameters!$B$39/1000</f>
        <v>175.32739488</v>
      </c>
      <c r="R9" s="14" t="n">
        <f aca="false">D9*Parameters!$B$42/1000</f>
        <v>130</v>
      </c>
      <c r="S9" s="14" t="n">
        <f aca="false">C9*Parameters!$B$14*Parameters!$B$45/1000</f>
        <v>1.99892</v>
      </c>
      <c r="T9" s="14" t="n">
        <f aca="false">L9*Parameters!$B$48/1000</f>
        <v>0</v>
      </c>
      <c r="U9" s="14" t="n">
        <f aca="false">O9+P9+Q9+R9+S9+T9</f>
        <v>795.124062674206</v>
      </c>
      <c r="V9" s="11" t="n">
        <f aca="false">IF(C9=1,Parameters!$B$52,IF(C9=2,Parameters!$B$53,Parameters!$B$54))</f>
        <v>119</v>
      </c>
      <c r="W9" s="14" t="n">
        <f aca="false">J9*V9/1000</f>
        <v>273.350933333333</v>
      </c>
      <c r="X9" s="14" t="n">
        <f aca="false">O9*Parameters!$B$20+P9*Parameters!$B$34+Q9*Parameters!$B$40+R9*Parameters!$B$43+S9*Parameters!$B$46+T9*Parameters!$B$49</f>
        <v>32.6476200699365</v>
      </c>
      <c r="Y9" s="14" t="n">
        <f aca="false">W9+X9</f>
        <v>305.99855340327</v>
      </c>
      <c r="Z9" s="14" t="n">
        <f aca="false">U9*Parameters!$B$8</f>
        <v>53.4448264999361</v>
      </c>
      <c r="AA9" s="14" t="n">
        <f aca="false">Parameters!$B$8*((Parameters!$B$21*O9+P9+R9+S9)/(1+Parameters!$B$7)^10+Q9/(1+Parameters!$B$7)^15)</f>
        <v>30.8378056161461</v>
      </c>
      <c r="AB9" s="14" t="n">
        <f aca="false">Y9+Z9+AA9</f>
        <v>390.281185519352</v>
      </c>
      <c r="AC9" s="15" t="n">
        <f aca="false">AB9*1000/G9</f>
        <v>10.6926352197083</v>
      </c>
    </row>
    <row r="10" customFormat="false" ht="15" hidden="false" customHeight="true" outlineLevel="0" collapsed="false">
      <c r="A10" s="7" t="s">
        <v>141</v>
      </c>
      <c r="B10" s="7" t="s">
        <v>140</v>
      </c>
      <c r="C10" s="8" t="n">
        <v>2</v>
      </c>
      <c r="D10" s="8" t="n">
        <v>2</v>
      </c>
      <c r="E10" s="8" t="n">
        <v>0.75</v>
      </c>
      <c r="F10" s="11" t="n">
        <f aca="false">C10*Parameters!$B$12</f>
        <v>100</v>
      </c>
      <c r="G10" s="12" t="n">
        <f aca="false">F10*Parameters!$B$9</f>
        <v>36500</v>
      </c>
      <c r="H10" s="12" t="n">
        <f aca="false">C10*Parameters!$B$14*Parameters!$B$10/1000</f>
        <v>2067.36</v>
      </c>
      <c r="I10" s="12" t="n">
        <f aca="false">H10/Parameters!$B$55</f>
        <v>2297.06666666667</v>
      </c>
      <c r="J10" s="12" t="n">
        <f aca="false">I10*E10</f>
        <v>1722.8</v>
      </c>
      <c r="K10" s="12" t="n">
        <f aca="false">I10*(1-E10)</f>
        <v>574.266666666667</v>
      </c>
      <c r="L10" s="13" t="n">
        <f aca="false">K10*1000/Parameters!$B$51</f>
        <v>419.478938397857</v>
      </c>
      <c r="M10" s="13" t="n">
        <f aca="false">C10*(Parameters!$B$12/86400)*Parameters!$B$31</f>
        <v>16.6665598441723</v>
      </c>
      <c r="N10" s="13" t="n">
        <f aca="false">D10*Parameters!$B$37*Parameters!$B$36/Parameters!$B$38</f>
        <v>32.62512</v>
      </c>
      <c r="O10" s="14" t="n">
        <f aca="false">C10*Parameters!$B$14*Parameters!$B$19/1000</f>
        <v>259.6</v>
      </c>
      <c r="P10" s="14" t="n">
        <f aca="false">Parameters!$B$32*M10^Parameters!$B$33/1000</f>
        <v>228.197747794206</v>
      </c>
      <c r="Q10" s="14" t="n">
        <f aca="false">N10*Parameters!$B$39/1000</f>
        <v>175.32739488</v>
      </c>
      <c r="R10" s="14" t="n">
        <f aca="false">D10*Parameters!$B$42/1000</f>
        <v>130</v>
      </c>
      <c r="S10" s="14" t="n">
        <f aca="false">C10*Parameters!$B$14*Parameters!$B$45/1000</f>
        <v>1.99892</v>
      </c>
      <c r="T10" s="14" t="n">
        <f aca="false">L10*Parameters!$B$48/1000</f>
        <v>398.504991477964</v>
      </c>
      <c r="U10" s="14" t="n">
        <f aca="false">O10+P10+Q10+R10+S10+T10</f>
        <v>1193.62905415217</v>
      </c>
      <c r="V10" s="11" t="n">
        <f aca="false">IF(C10=1,Parameters!$B$52,IF(C10=2,Parameters!$B$53,Parameters!$B$54))</f>
        <v>119</v>
      </c>
      <c r="W10" s="14" t="n">
        <f aca="false">J10*V10/1000</f>
        <v>205.0132</v>
      </c>
      <c r="X10" s="14" t="n">
        <f aca="false">O10*Parameters!$B$20+P10*Parameters!$B$34+Q10*Parameters!$B$40+R10*Parameters!$B$43+S10*Parameters!$B$46+T10*Parameters!$B$49</f>
        <v>38.9439989352883</v>
      </c>
      <c r="Y10" s="14" t="n">
        <f aca="false">W10+X10</f>
        <v>243.957198935288</v>
      </c>
      <c r="Z10" s="14" t="n">
        <f aca="false">U10*Parameters!$B$8</f>
        <v>80.2306214830078</v>
      </c>
      <c r="AA10" s="14" t="n">
        <f aca="false">Parameters!$B$8*((Parameters!$B$21*O10+P10+R10+S10)/(1+Parameters!$B$7)^10+Q10/(1+Parameters!$B$7)^15)</f>
        <v>30.8378056161461</v>
      </c>
      <c r="AB10" s="14" t="n">
        <f aca="false">Y10+Z10+AA10</f>
        <v>355.025626034442</v>
      </c>
      <c r="AC10" s="15" t="n">
        <f aca="false">AB10*1000/G10</f>
        <v>9.72672948039568</v>
      </c>
    </row>
    <row r="11" customFormat="false" ht="15" hidden="false" customHeight="true" outlineLevel="0" collapsed="false">
      <c r="A11" s="7" t="s">
        <v>142</v>
      </c>
      <c r="B11" s="7" t="s">
        <v>140</v>
      </c>
      <c r="C11" s="8" t="n">
        <v>2</v>
      </c>
      <c r="D11" s="8" t="n">
        <v>2</v>
      </c>
      <c r="E11" s="8" t="n">
        <v>0.5</v>
      </c>
      <c r="F11" s="11" t="n">
        <f aca="false">C11*Parameters!$B$12</f>
        <v>100</v>
      </c>
      <c r="G11" s="12" t="n">
        <f aca="false">F11*Parameters!$B$9</f>
        <v>36500</v>
      </c>
      <c r="H11" s="12" t="n">
        <f aca="false">C11*Parameters!$B$14*Parameters!$B$10/1000</f>
        <v>2067.36</v>
      </c>
      <c r="I11" s="12" t="n">
        <f aca="false">H11/Parameters!$B$55</f>
        <v>2297.06666666667</v>
      </c>
      <c r="J11" s="12" t="n">
        <f aca="false">I11*E11</f>
        <v>1148.53333333333</v>
      </c>
      <c r="K11" s="12" t="n">
        <f aca="false">I11*(1-E11)</f>
        <v>1148.53333333333</v>
      </c>
      <c r="L11" s="13" t="n">
        <f aca="false">K11*1000/Parameters!$B$51</f>
        <v>838.957876795715</v>
      </c>
      <c r="M11" s="13" t="n">
        <f aca="false">C11*(Parameters!$B$12/86400)*Parameters!$B$31</f>
        <v>16.6665598441723</v>
      </c>
      <c r="N11" s="13" t="n">
        <f aca="false">D11*Parameters!$B$37*Parameters!$B$36/Parameters!$B$38</f>
        <v>32.62512</v>
      </c>
      <c r="O11" s="14" t="n">
        <f aca="false">C11*Parameters!$B$14*Parameters!$B$19/1000</f>
        <v>259.6</v>
      </c>
      <c r="P11" s="14" t="n">
        <f aca="false">Parameters!$B$32*M11^Parameters!$B$33/1000</f>
        <v>228.197747794206</v>
      </c>
      <c r="Q11" s="14" t="n">
        <f aca="false">N11*Parameters!$B$39/1000</f>
        <v>175.32739488</v>
      </c>
      <c r="R11" s="14" t="n">
        <f aca="false">D11*Parameters!$B$42/1000</f>
        <v>130</v>
      </c>
      <c r="S11" s="14" t="n">
        <f aca="false">C11*Parameters!$B$14*Parameters!$B$45/1000</f>
        <v>1.99892</v>
      </c>
      <c r="T11" s="14" t="n">
        <f aca="false">L11*Parameters!$B$48/1000</f>
        <v>797.009982955929</v>
      </c>
      <c r="U11" s="14" t="n">
        <f aca="false">O11+P11+Q11+R11+S11+T11</f>
        <v>1592.13404563014</v>
      </c>
      <c r="V11" s="11" t="n">
        <f aca="false">IF(C11=1,Parameters!$B$52,IF(C11=2,Parameters!$B$53,Parameters!$B$54))</f>
        <v>119</v>
      </c>
      <c r="W11" s="14" t="n">
        <f aca="false">J11*V11/1000</f>
        <v>136.675466666667</v>
      </c>
      <c r="X11" s="14" t="n">
        <f aca="false">O11*Parameters!$B$20+P11*Parameters!$B$34+Q11*Parameters!$B$40+R11*Parameters!$B$43+S11*Parameters!$B$46+T11*Parameters!$B$49</f>
        <v>45.2403778006402</v>
      </c>
      <c r="Y11" s="14" t="n">
        <f aca="false">W11+X11</f>
        <v>181.915844467307</v>
      </c>
      <c r="Z11" s="14" t="n">
        <f aca="false">U11*Parameters!$B$8</f>
        <v>107.016416466079</v>
      </c>
      <c r="AA11" s="14" t="n">
        <f aca="false">Parameters!$B$8*((Parameters!$B$21*O11+P11+R11+S11)/(1+Parameters!$B$7)^10+Q11/(1+Parameters!$B$7)^15)</f>
        <v>30.8378056161461</v>
      </c>
      <c r="AB11" s="14" t="n">
        <f aca="false">Y11+Z11+AA11</f>
        <v>319.770066549532</v>
      </c>
      <c r="AC11" s="15" t="n">
        <f aca="false">AB11*1000/G11</f>
        <v>8.76082374108308</v>
      </c>
    </row>
    <row r="12" customFormat="false" ht="15" hidden="false" customHeight="true" outlineLevel="0" collapsed="false">
      <c r="A12" s="7" t="s">
        <v>143</v>
      </c>
      <c r="B12" s="7" t="s">
        <v>140</v>
      </c>
      <c r="C12" s="8" t="n">
        <v>2</v>
      </c>
      <c r="D12" s="8" t="n">
        <v>2</v>
      </c>
      <c r="E12" s="8" t="n">
        <v>0.25</v>
      </c>
      <c r="F12" s="11" t="n">
        <f aca="false">C12*Parameters!$B$12</f>
        <v>100</v>
      </c>
      <c r="G12" s="12" t="n">
        <f aca="false">F12*Parameters!$B$9</f>
        <v>36500</v>
      </c>
      <c r="H12" s="12" t="n">
        <f aca="false">C12*Parameters!$B$14*Parameters!$B$10/1000</f>
        <v>2067.36</v>
      </c>
      <c r="I12" s="12" t="n">
        <f aca="false">H12/Parameters!$B$55</f>
        <v>2297.06666666667</v>
      </c>
      <c r="J12" s="12" t="n">
        <f aca="false">I12*E12</f>
        <v>574.266666666667</v>
      </c>
      <c r="K12" s="12" t="n">
        <f aca="false">I12*(1-E12)</f>
        <v>1722.8</v>
      </c>
      <c r="L12" s="13" t="n">
        <f aca="false">K12*1000/Parameters!$B$51</f>
        <v>1258.43681519357</v>
      </c>
      <c r="M12" s="13" t="n">
        <f aca="false">C12*(Parameters!$B$12/86400)*Parameters!$B$31</f>
        <v>16.6665598441723</v>
      </c>
      <c r="N12" s="13" t="n">
        <f aca="false">D12*Parameters!$B$37*Parameters!$B$36/Parameters!$B$38</f>
        <v>32.62512</v>
      </c>
      <c r="O12" s="14" t="n">
        <f aca="false">C12*Parameters!$B$14*Parameters!$B$19/1000</f>
        <v>259.6</v>
      </c>
      <c r="P12" s="14" t="n">
        <f aca="false">Parameters!$B$32*M12^Parameters!$B$33/1000</f>
        <v>228.197747794206</v>
      </c>
      <c r="Q12" s="14" t="n">
        <f aca="false">N12*Parameters!$B$39/1000</f>
        <v>175.32739488</v>
      </c>
      <c r="R12" s="14" t="n">
        <f aca="false">D12*Parameters!$B$42/1000</f>
        <v>130</v>
      </c>
      <c r="S12" s="14" t="n">
        <f aca="false">C12*Parameters!$B$14*Parameters!$B$45/1000</f>
        <v>1.99892</v>
      </c>
      <c r="T12" s="14" t="n">
        <f aca="false">L12*Parameters!$B$48/1000</f>
        <v>1195.51497443389</v>
      </c>
      <c r="U12" s="14" t="n">
        <f aca="false">O12+P12+Q12+R12+S12+T12</f>
        <v>1990.6390371081</v>
      </c>
      <c r="V12" s="11" t="n">
        <f aca="false">IF(C12=1,Parameters!$B$52,IF(C12=2,Parameters!$B$53,Parameters!$B$54))</f>
        <v>119</v>
      </c>
      <c r="W12" s="14" t="n">
        <f aca="false">J12*V12/1000</f>
        <v>68.3377333333333</v>
      </c>
      <c r="X12" s="14" t="n">
        <f aca="false">O12*Parameters!$B$20+P12*Parameters!$B$34+Q12*Parameters!$B$40+R12*Parameters!$B$43+S12*Parameters!$B$46+T12*Parameters!$B$49</f>
        <v>51.536756665992</v>
      </c>
      <c r="Y12" s="14" t="n">
        <f aca="false">W12+X12</f>
        <v>119.874489999325</v>
      </c>
      <c r="Z12" s="14" t="n">
        <f aca="false">U12*Parameters!$B$8</f>
        <v>133.802211449151</v>
      </c>
      <c r="AA12" s="14" t="n">
        <f aca="false">Parameters!$B$8*((Parameters!$B$21*O12+P12+R12+S12)/(1+Parameters!$B$7)^10+Q12/(1+Parameters!$B$7)^15)</f>
        <v>30.8378056161461</v>
      </c>
      <c r="AB12" s="14" t="n">
        <f aca="false">Y12+Z12+AA12</f>
        <v>284.514507064623</v>
      </c>
      <c r="AC12" s="15" t="n">
        <f aca="false">AB12*1000/G12</f>
        <v>7.79491800177048</v>
      </c>
    </row>
    <row r="13" customFormat="false" ht="15" hidden="false" customHeight="true" outlineLevel="0" collapsed="false">
      <c r="A13" s="7" t="s">
        <v>144</v>
      </c>
      <c r="B13" s="7" t="s">
        <v>145</v>
      </c>
      <c r="C13" s="8" t="n">
        <v>4</v>
      </c>
      <c r="D13" s="8" t="n">
        <v>2</v>
      </c>
      <c r="E13" s="8" t="n">
        <v>1</v>
      </c>
      <c r="F13" s="11" t="n">
        <f aca="false">C13*Parameters!$B$12</f>
        <v>200</v>
      </c>
      <c r="G13" s="12" t="n">
        <f aca="false">F13*Parameters!$B$9</f>
        <v>73000</v>
      </c>
      <c r="H13" s="12" t="n">
        <f aca="false">C13*Parameters!$B$14*Parameters!$B$10/1000</f>
        <v>4134.72</v>
      </c>
      <c r="I13" s="12" t="n">
        <f aca="false">H13/Parameters!$B$55</f>
        <v>4594.13333333333</v>
      </c>
      <c r="J13" s="12" t="n">
        <f aca="false">I13*E13</f>
        <v>4594.13333333333</v>
      </c>
      <c r="K13" s="12" t="n">
        <f aca="false">I13*(1-E13)</f>
        <v>0</v>
      </c>
      <c r="L13" s="13" t="n">
        <f aca="false">K13*1000/Parameters!$B$51</f>
        <v>0</v>
      </c>
      <c r="M13" s="13" t="n">
        <f aca="false">C13*(Parameters!$B$12/86400)*Parameters!$B$31</f>
        <v>33.3331196883447</v>
      </c>
      <c r="N13" s="13" t="n">
        <f aca="false">D13*Parameters!$B$37*Parameters!$B$36/Parameters!$B$38</f>
        <v>32.62512</v>
      </c>
      <c r="O13" s="14" t="n">
        <f aca="false">C13*Parameters!$B$14*Parameters!$B$19/1000</f>
        <v>519.2</v>
      </c>
      <c r="P13" s="14" t="n">
        <f aca="false">Parameters!$B$32*M13^Parameters!$B$33/1000</f>
        <v>342.566613399046</v>
      </c>
      <c r="Q13" s="14" t="n">
        <f aca="false">N13*Parameters!$B$39/1000</f>
        <v>175.32739488</v>
      </c>
      <c r="R13" s="14" t="n">
        <f aca="false">D13*Parameters!$B$42/1000</f>
        <v>130</v>
      </c>
      <c r="S13" s="14" t="n">
        <f aca="false">C13*Parameters!$B$14*Parameters!$B$45/1000</f>
        <v>3.99784</v>
      </c>
      <c r="T13" s="14" t="n">
        <f aca="false">L13*Parameters!$B$48/1000</f>
        <v>0</v>
      </c>
      <c r="U13" s="14" t="n">
        <f aca="false">O13+P13+Q13+R13+S13+T13</f>
        <v>1171.09184827905</v>
      </c>
      <c r="V13" s="11" t="n">
        <f aca="false">IF(C13=1,Parameters!$B$52,IF(C13=2,Parameters!$B$53,Parameters!$B$54))</f>
        <v>109</v>
      </c>
      <c r="W13" s="14" t="n">
        <f aca="false">J13*V13/1000</f>
        <v>500.760533333333</v>
      </c>
      <c r="X13" s="14" t="n">
        <f aca="false">O13*Parameters!$B$20+P13*Parameters!$B$34+Q13*Parameters!$B$40+R13*Parameters!$B$43+S13*Parameters!$B$46+T13*Parameters!$B$49</f>
        <v>47.0291077183236</v>
      </c>
      <c r="Y13" s="14" t="n">
        <f aca="false">W13+X13</f>
        <v>547.789641051657</v>
      </c>
      <c r="Z13" s="14" t="n">
        <f aca="false">U13*Parameters!$B$8</f>
        <v>78.7157672429896</v>
      </c>
      <c r="AA13" s="14" t="n">
        <f aca="false">Parameters!$B$8*((Parameters!$B$21*O13+P13+R13+S13)/(1+Parameters!$B$7)^10+Q13/(1+Parameters!$B$7)^15)</f>
        <v>41.9163729623478</v>
      </c>
      <c r="AB13" s="14" t="n">
        <f aca="false">Y13+Z13+AA13</f>
        <v>668.421781256994</v>
      </c>
      <c r="AC13" s="15" t="n">
        <f aca="false">AB13*1000/G13</f>
        <v>9.15646275694513</v>
      </c>
    </row>
    <row r="14" customFormat="false" ht="15" hidden="false" customHeight="true" outlineLevel="0" collapsed="false">
      <c r="A14" s="7" t="s">
        <v>146</v>
      </c>
      <c r="B14" s="7" t="s">
        <v>145</v>
      </c>
      <c r="C14" s="8" t="n">
        <v>4</v>
      </c>
      <c r="D14" s="8" t="n">
        <v>2</v>
      </c>
      <c r="E14" s="8" t="n">
        <v>0.75</v>
      </c>
      <c r="F14" s="11" t="n">
        <f aca="false">C14*Parameters!$B$12</f>
        <v>200</v>
      </c>
      <c r="G14" s="12" t="n">
        <f aca="false">F14*Parameters!$B$9</f>
        <v>73000</v>
      </c>
      <c r="H14" s="12" t="n">
        <f aca="false">C14*Parameters!$B$14*Parameters!$B$10/1000</f>
        <v>4134.72</v>
      </c>
      <c r="I14" s="12" t="n">
        <f aca="false">H14/Parameters!$B$55</f>
        <v>4594.13333333333</v>
      </c>
      <c r="J14" s="12" t="n">
        <f aca="false">I14*E14</f>
        <v>3445.6</v>
      </c>
      <c r="K14" s="12" t="n">
        <f aca="false">I14*(1-E14)</f>
        <v>1148.53333333333</v>
      </c>
      <c r="L14" s="13" t="n">
        <f aca="false">K14*1000/Parameters!$B$51</f>
        <v>838.957876795715</v>
      </c>
      <c r="M14" s="13" t="n">
        <f aca="false">C14*(Parameters!$B$12/86400)*Parameters!$B$31</f>
        <v>33.3331196883447</v>
      </c>
      <c r="N14" s="13" t="n">
        <f aca="false">D14*Parameters!$B$37*Parameters!$B$36/Parameters!$B$38</f>
        <v>32.62512</v>
      </c>
      <c r="O14" s="14" t="n">
        <f aca="false">C14*Parameters!$B$14*Parameters!$B$19/1000</f>
        <v>519.2</v>
      </c>
      <c r="P14" s="14" t="n">
        <f aca="false">Parameters!$B$32*M14^Parameters!$B$33/1000</f>
        <v>342.566613399046</v>
      </c>
      <c r="Q14" s="14" t="n">
        <f aca="false">N14*Parameters!$B$39/1000</f>
        <v>175.32739488</v>
      </c>
      <c r="R14" s="14" t="n">
        <f aca="false">D14*Parameters!$B$42/1000</f>
        <v>130</v>
      </c>
      <c r="S14" s="14" t="n">
        <f aca="false">C14*Parameters!$B$14*Parameters!$B$45/1000</f>
        <v>3.99784</v>
      </c>
      <c r="T14" s="14" t="n">
        <f aca="false">L14*Parameters!$B$48/1000</f>
        <v>797.009982955929</v>
      </c>
      <c r="U14" s="14" t="n">
        <f aca="false">O14+P14+Q14+R14+S14+T14</f>
        <v>1968.10183123497</v>
      </c>
      <c r="V14" s="11" t="n">
        <f aca="false">IF(C14=1,Parameters!$B$52,IF(C14=2,Parameters!$B$53,Parameters!$B$54))</f>
        <v>109</v>
      </c>
      <c r="W14" s="14" t="n">
        <f aca="false">J14*V14/1000</f>
        <v>375.5704</v>
      </c>
      <c r="X14" s="14" t="n">
        <f aca="false">O14*Parameters!$B$20+P14*Parameters!$B$34+Q14*Parameters!$B$40+R14*Parameters!$B$43+S14*Parameters!$B$46+T14*Parameters!$B$49</f>
        <v>59.6218654490273</v>
      </c>
      <c r="Y14" s="14" t="n">
        <f aca="false">W14+X14</f>
        <v>435.192265449027</v>
      </c>
      <c r="Z14" s="14" t="n">
        <f aca="false">U14*Parameters!$B$8</f>
        <v>132.287357209133</v>
      </c>
      <c r="AA14" s="14" t="n">
        <f aca="false">Parameters!$B$8*((Parameters!$B$21*O14+P14+R14+S14)/(1+Parameters!$B$7)^10+Q14/(1+Parameters!$B$7)^15)</f>
        <v>41.9163729623478</v>
      </c>
      <c r="AB14" s="14" t="n">
        <f aca="false">Y14+Z14+AA14</f>
        <v>609.395995620508</v>
      </c>
      <c r="AC14" s="15" t="n">
        <f aca="false">AB14*1000/G14</f>
        <v>8.34789035096586</v>
      </c>
    </row>
    <row r="15" customFormat="false" ht="15" hidden="false" customHeight="true" outlineLevel="0" collapsed="false">
      <c r="A15" s="7" t="s">
        <v>147</v>
      </c>
      <c r="B15" s="7" t="s">
        <v>145</v>
      </c>
      <c r="C15" s="8" t="n">
        <v>4</v>
      </c>
      <c r="D15" s="8" t="n">
        <v>2</v>
      </c>
      <c r="E15" s="8" t="n">
        <v>0.5</v>
      </c>
      <c r="F15" s="11" t="n">
        <f aca="false">C15*Parameters!$B$12</f>
        <v>200</v>
      </c>
      <c r="G15" s="12" t="n">
        <f aca="false">F15*Parameters!$B$9</f>
        <v>73000</v>
      </c>
      <c r="H15" s="12" t="n">
        <f aca="false">C15*Parameters!$B$14*Parameters!$B$10/1000</f>
        <v>4134.72</v>
      </c>
      <c r="I15" s="12" t="n">
        <f aca="false">H15/Parameters!$B$55</f>
        <v>4594.13333333333</v>
      </c>
      <c r="J15" s="12" t="n">
        <f aca="false">I15*E15</f>
        <v>2297.06666666667</v>
      </c>
      <c r="K15" s="12" t="n">
        <f aca="false">I15*(1-E15)</f>
        <v>2297.06666666667</v>
      </c>
      <c r="L15" s="13" t="n">
        <f aca="false">K15*1000/Parameters!$B$51</f>
        <v>1677.91575359143</v>
      </c>
      <c r="M15" s="13" t="n">
        <f aca="false">C15*(Parameters!$B$12/86400)*Parameters!$B$31</f>
        <v>33.3331196883447</v>
      </c>
      <c r="N15" s="13" t="n">
        <f aca="false">D15*Parameters!$B$37*Parameters!$B$36/Parameters!$B$38</f>
        <v>32.62512</v>
      </c>
      <c r="O15" s="14" t="n">
        <f aca="false">C15*Parameters!$B$14*Parameters!$B$19/1000</f>
        <v>519.2</v>
      </c>
      <c r="P15" s="14" t="n">
        <f aca="false">Parameters!$B$32*M15^Parameters!$B$33/1000</f>
        <v>342.566613399046</v>
      </c>
      <c r="Q15" s="14" t="n">
        <f aca="false">N15*Parameters!$B$39/1000</f>
        <v>175.32739488</v>
      </c>
      <c r="R15" s="14" t="n">
        <f aca="false">D15*Parameters!$B$42/1000</f>
        <v>130</v>
      </c>
      <c r="S15" s="14" t="n">
        <f aca="false">C15*Parameters!$B$14*Parameters!$B$45/1000</f>
        <v>3.99784</v>
      </c>
      <c r="T15" s="14" t="n">
        <f aca="false">L15*Parameters!$B$48/1000</f>
        <v>1594.01996591186</v>
      </c>
      <c r="U15" s="14" t="n">
        <f aca="false">O15+P15+Q15+R15+S15+T15</f>
        <v>2765.1118141909</v>
      </c>
      <c r="V15" s="11" t="n">
        <f aca="false">IF(C15=1,Parameters!$B$52,IF(C15=2,Parameters!$B$53,Parameters!$B$54))</f>
        <v>109</v>
      </c>
      <c r="W15" s="14" t="n">
        <f aca="false">J15*V15/1000</f>
        <v>250.380266666667</v>
      </c>
      <c r="X15" s="14" t="n">
        <f aca="false">O15*Parameters!$B$20+P15*Parameters!$B$34+Q15*Parameters!$B$40+R15*Parameters!$B$43+S15*Parameters!$B$46+T15*Parameters!$B$49</f>
        <v>72.214623179731</v>
      </c>
      <c r="Y15" s="14" t="n">
        <f aca="false">W15+X15</f>
        <v>322.594889846398</v>
      </c>
      <c r="Z15" s="14" t="n">
        <f aca="false">U15*Parameters!$B$8</f>
        <v>185.858947175276</v>
      </c>
      <c r="AA15" s="14" t="n">
        <f aca="false">Parameters!$B$8*((Parameters!$B$21*O15+P15+R15+S15)/(1+Parameters!$B$7)^10+Q15/(1+Parameters!$B$7)^15)</f>
        <v>41.9163729623478</v>
      </c>
      <c r="AB15" s="14" t="n">
        <f aca="false">Y15+Z15+AA15</f>
        <v>550.370209984022</v>
      </c>
      <c r="AC15" s="15" t="n">
        <f aca="false">AB15*1000/G15</f>
        <v>7.5393179449866</v>
      </c>
    </row>
    <row r="16" customFormat="false" ht="15" hidden="false" customHeight="true" outlineLevel="0" collapsed="false">
      <c r="A16" s="7" t="s">
        <v>148</v>
      </c>
      <c r="B16" s="7" t="s">
        <v>145</v>
      </c>
      <c r="C16" s="8" t="n">
        <v>4</v>
      </c>
      <c r="D16" s="8" t="n">
        <v>2</v>
      </c>
      <c r="E16" s="8" t="n">
        <v>0.25</v>
      </c>
      <c r="F16" s="11" t="n">
        <f aca="false">C16*Parameters!$B$12</f>
        <v>200</v>
      </c>
      <c r="G16" s="12" t="n">
        <f aca="false">F16*Parameters!$B$9</f>
        <v>73000</v>
      </c>
      <c r="H16" s="12" t="n">
        <f aca="false">C16*Parameters!$B$14*Parameters!$B$10/1000</f>
        <v>4134.72</v>
      </c>
      <c r="I16" s="12" t="n">
        <f aca="false">H16/Parameters!$B$55</f>
        <v>4594.13333333333</v>
      </c>
      <c r="J16" s="12" t="n">
        <f aca="false">I16*E16</f>
        <v>1148.53333333333</v>
      </c>
      <c r="K16" s="12" t="n">
        <f aca="false">I16*(1-E16)</f>
        <v>3445.6</v>
      </c>
      <c r="L16" s="13" t="n">
        <f aca="false">K16*1000/Parameters!$B$51</f>
        <v>2516.87363038714</v>
      </c>
      <c r="M16" s="13" t="n">
        <f aca="false">C16*(Parameters!$B$12/86400)*Parameters!$B$31</f>
        <v>33.3331196883447</v>
      </c>
      <c r="N16" s="13" t="n">
        <f aca="false">D16*Parameters!$B$37*Parameters!$B$36/Parameters!$B$38</f>
        <v>32.62512</v>
      </c>
      <c r="O16" s="14" t="n">
        <f aca="false">C16*Parameters!$B$14*Parameters!$B$19/1000</f>
        <v>519.2</v>
      </c>
      <c r="P16" s="14" t="n">
        <f aca="false">Parameters!$B$32*M16^Parameters!$B$33/1000</f>
        <v>342.566613399046</v>
      </c>
      <c r="Q16" s="14" t="n">
        <f aca="false">N16*Parameters!$B$39/1000</f>
        <v>175.32739488</v>
      </c>
      <c r="R16" s="14" t="n">
        <f aca="false">D16*Parameters!$B$42/1000</f>
        <v>130</v>
      </c>
      <c r="S16" s="14" t="n">
        <f aca="false">C16*Parameters!$B$14*Parameters!$B$45/1000</f>
        <v>3.99784</v>
      </c>
      <c r="T16" s="14" t="n">
        <f aca="false">L16*Parameters!$B$48/1000</f>
        <v>2391.02994886779</v>
      </c>
      <c r="U16" s="14" t="n">
        <f aca="false">O16+P16+Q16+R16+S16+T16</f>
        <v>3562.12179714683</v>
      </c>
      <c r="V16" s="11" t="n">
        <f aca="false">IF(C16=1,Parameters!$B$52,IF(C16=2,Parameters!$B$53,Parameters!$B$54))</f>
        <v>109</v>
      </c>
      <c r="W16" s="14" t="n">
        <f aca="false">J16*V16/1000</f>
        <v>125.190133333333</v>
      </c>
      <c r="X16" s="14" t="n">
        <f aca="false">O16*Parameters!$B$20+P16*Parameters!$B$34+Q16*Parameters!$B$40+R16*Parameters!$B$43+S16*Parameters!$B$46+T16*Parameters!$B$49</f>
        <v>84.8073809104347</v>
      </c>
      <c r="Y16" s="14" t="n">
        <f aca="false">W16+X16</f>
        <v>209.997514243768</v>
      </c>
      <c r="Z16" s="14" t="n">
        <f aca="false">U16*Parameters!$B$8</f>
        <v>239.43053714142</v>
      </c>
      <c r="AA16" s="14" t="n">
        <f aca="false">Parameters!$B$8*((Parameters!$B$21*O16+P16+R16+S16)/(1+Parameters!$B$7)^10+Q16/(1+Parameters!$B$7)^15)</f>
        <v>41.9163729623478</v>
      </c>
      <c r="AB16" s="14" t="n">
        <f aca="false">Y16+Z16+AA16</f>
        <v>491.344424347536</v>
      </c>
      <c r="AC16" s="15" t="n">
        <f aca="false">AB16*1000/G16</f>
        <v>6.73074553900734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5" min="3" style="1" width="17"/>
  </cols>
  <sheetData>
    <row r="1" customFormat="false" ht="15.75" hidden="false" customHeight="true" outlineLevel="0" collapsed="false">
      <c r="A1" s="2" t="s">
        <v>150</v>
      </c>
    </row>
    <row r="3" customFormat="false" ht="15" hidden="false" customHeight="true" outlineLevel="0" collapsed="false">
      <c r="A3" s="16" t="s">
        <v>151</v>
      </c>
    </row>
    <row r="4" customFormat="false" ht="15" hidden="false" customHeight="true" outlineLevel="0" collapsed="false">
      <c r="A4" s="10" t="s">
        <v>152</v>
      </c>
      <c r="B4" s="10" t="s">
        <v>153</v>
      </c>
      <c r="C4" s="10" t="s">
        <v>154</v>
      </c>
      <c r="D4" s="10" t="s">
        <v>155</v>
      </c>
      <c r="E4" s="10" t="s">
        <v>156</v>
      </c>
    </row>
    <row r="5" customFormat="false" ht="15" hidden="false" customHeight="true" outlineLevel="0" collapsed="false">
      <c r="A5" s="7" t="s">
        <v>157</v>
      </c>
      <c r="B5" s="17" t="n">
        <f aca="false">Model_Naples!AC5</f>
        <v>11.7317006783185</v>
      </c>
      <c r="C5" s="18" t="n">
        <f aca="false">Model_Naples!AC6</f>
        <v>10.5309638109489</v>
      </c>
      <c r="D5" s="18" t="n">
        <f aca="false">Model_Naples!AC7</f>
        <v>9.33022694357929</v>
      </c>
      <c r="E5" s="18" t="n">
        <f aca="false">Model_Naples!AC8</f>
        <v>8.1294900762097</v>
      </c>
    </row>
    <row r="6" customFormat="false" ht="15" hidden="false" customHeight="true" outlineLevel="0" collapsed="false">
      <c r="A6" s="7" t="s">
        <v>158</v>
      </c>
      <c r="B6" s="18" t="n">
        <f aca="false">Model_Naples!AC9</f>
        <v>10.6926352197083</v>
      </c>
      <c r="C6" s="18" t="n">
        <f aca="false">Model_Naples!AC10</f>
        <v>9.64923168567202</v>
      </c>
      <c r="D6" s="18" t="n">
        <f aca="false">Model_Naples!AC11</f>
        <v>8.60582815163576</v>
      </c>
      <c r="E6" s="18" t="n">
        <f aca="false">Model_Naples!AC12</f>
        <v>7.5624246175995</v>
      </c>
    </row>
    <row r="7" customFormat="false" ht="15" hidden="false" customHeight="true" outlineLevel="0" collapsed="false">
      <c r="A7" s="7" t="s">
        <v>159</v>
      </c>
      <c r="B7" s="18" t="n">
        <f aca="false">Model_Naples!AC13</f>
        <v>9.15646275694513</v>
      </c>
      <c r="C7" s="18" t="n">
        <f aca="false">Model_Naples!AC14</f>
        <v>8.2703925562422</v>
      </c>
      <c r="D7" s="18" t="n">
        <f aca="false">Model_Naples!AC15</f>
        <v>7.38432235553928</v>
      </c>
      <c r="E7" s="19" t="n">
        <f aca="false">Model_Naples!AC16</f>
        <v>6.49825215483635</v>
      </c>
    </row>
    <row r="10" customFormat="false" ht="15" hidden="false" customHeight="true" outlineLevel="0" collapsed="false">
      <c r="A10" s="16" t="s">
        <v>160</v>
      </c>
    </row>
    <row r="11" customFormat="false" ht="15" hidden="false" customHeight="true" outlineLevel="0" collapsed="false">
      <c r="A11" s="10" t="s">
        <v>152</v>
      </c>
      <c r="B11" s="10" t="s">
        <v>153</v>
      </c>
      <c r="C11" s="10" t="s">
        <v>154</v>
      </c>
      <c r="D11" s="10" t="s">
        <v>155</v>
      </c>
      <c r="E11" s="10" t="s">
        <v>156</v>
      </c>
    </row>
    <row r="12" customFormat="false" ht="15" hidden="false" customHeight="true" outlineLevel="0" collapsed="false">
      <c r="A12" s="7" t="s">
        <v>157</v>
      </c>
      <c r="B12" s="18" t="n">
        <f aca="false">Model_Milan!AC5</f>
        <v>11.7317006783185</v>
      </c>
      <c r="C12" s="18" t="n">
        <f aca="false">Model_Milan!AC6</f>
        <v>10.6084616056725</v>
      </c>
      <c r="D12" s="18" t="n">
        <f aca="false">Model_Milan!AC7</f>
        <v>9.48522253302661</v>
      </c>
      <c r="E12" s="18" t="n">
        <f aca="false">Model_Milan!AC8</f>
        <v>8.36198346038068</v>
      </c>
    </row>
    <row r="13" customFormat="false" ht="15" hidden="false" customHeight="true" outlineLevel="0" collapsed="false">
      <c r="A13" s="7" t="s">
        <v>158</v>
      </c>
      <c r="B13" s="18" t="n">
        <f aca="false">Model_Milan!AC9</f>
        <v>10.6926352197083</v>
      </c>
      <c r="C13" s="18" t="n">
        <f aca="false">Model_Milan!AC10</f>
        <v>9.72672948039568</v>
      </c>
      <c r="D13" s="18" t="n">
        <f aca="false">Model_Milan!AC11</f>
        <v>8.76082374108308</v>
      </c>
      <c r="E13" s="18" t="n">
        <f aca="false">Model_Milan!AC12</f>
        <v>7.79491800177048</v>
      </c>
    </row>
    <row r="14" customFormat="false" ht="15" hidden="false" customHeight="true" outlineLevel="0" collapsed="false">
      <c r="A14" s="7" t="s">
        <v>159</v>
      </c>
      <c r="B14" s="18" t="n">
        <f aca="false">Model_Milan!AC13</f>
        <v>9.15646275694513</v>
      </c>
      <c r="C14" s="18" t="n">
        <f aca="false">Model_Milan!AC14</f>
        <v>8.34789035096586</v>
      </c>
      <c r="D14" s="18" t="n">
        <f aca="false">Model_Milan!AC15</f>
        <v>7.5393179449866</v>
      </c>
      <c r="E14" s="18" t="n">
        <f aca="false">Model_Milan!AC16</f>
        <v>6.73074553900734</v>
      </c>
    </row>
    <row r="18" customFormat="false" ht="15" hidden="false" customHeight="true" outlineLevel="0" collapsed="false">
      <c r="A18" s="16" t="s">
        <v>161</v>
      </c>
    </row>
    <row r="19" customFormat="false" ht="15" hidden="false" customHeight="true" outlineLevel="0" collapsed="false">
      <c r="A19" s="7" t="s">
        <v>162</v>
      </c>
      <c r="B19" s="20" t="str">
        <f aca="false">CONCATENATE("Medium_LG, Naples = ",TEXT(Model_Naples!AC16,"0.00")," EUR/kg")</f>
        <v>Medium_LG, Naples = 6.50 EUR/kg</v>
      </c>
    </row>
    <row r="20" customFormat="false" ht="15" hidden="false" customHeight="true" outlineLevel="0" collapsed="false">
      <c r="A20" s="7" t="s">
        <v>163</v>
      </c>
      <c r="B20" s="20" t="str">
        <f aca="false">CONCATENATE("Micro_FG, Naples = ",TEXT(Model_Naples!AC5,"0.00")," EUR/kg")</f>
        <v>Micro_FG, Naples = 11.73 EUR/kg</v>
      </c>
    </row>
    <row r="21" customFormat="false" ht="15" hidden="false" customHeight="true" outlineLevel="0" collapsed="false">
      <c r="A21" s="7" t="s">
        <v>164</v>
      </c>
      <c r="B21" s="20" t="str">
        <f aca="false">CONCATENATE(TEXT((Model_Naples!AC16-Model_Naples!AC5)/Model_Naples!AC5*100,"0.0"),"%")</f>
        <v>-44.6%</v>
      </c>
    </row>
    <row r="22" customFormat="false" ht="15" hidden="false" customHeight="true" outlineLevel="0" collapsed="false">
      <c r="A22" s="7" t="s">
        <v>165</v>
      </c>
      <c r="B22" s="20" t="str">
        <f aca="false">CONCATENATE(TEXT((Model_Naples!AC16-Model_Naples!AC8)/Model_Naples!AC8*100,"0.0"),"%")</f>
        <v>-20.1%</v>
      </c>
    </row>
    <row r="23" customFormat="false" ht="15" hidden="false" customHeight="true" outlineLevel="0" collapsed="false">
      <c r="A23" s="7" t="s">
        <v>166</v>
      </c>
      <c r="B23" s="20" t="str">
        <f aca="false">CONCATENATE(TEXT((Model_Milan!AC16-Model_Naples!AC16)/Model_Naples!AC16*100,"0.0"),"%")</f>
        <v>3.6%</v>
      </c>
    </row>
    <row r="26" customFormat="false" ht="15" hidden="false" customHeight="true" outlineLevel="0" collapsed="false">
      <c r="A26" s="16" t="s">
        <v>167</v>
      </c>
    </row>
    <row r="27" customFormat="false" ht="15" hidden="false" customHeight="true" outlineLevel="0" collapsed="false">
      <c r="A27" s="21" t="s">
        <v>168</v>
      </c>
      <c r="B27" s="21" t="s">
        <v>169</v>
      </c>
      <c r="C27" s="21" t="s">
        <v>170</v>
      </c>
    </row>
    <row r="28" customFormat="false" ht="15" hidden="false" customHeight="true" outlineLevel="0" collapsed="false">
      <c r="A28" s="7" t="s">
        <v>171</v>
      </c>
      <c r="B28" s="22" t="n">
        <f aca="false">Model_Naples!Z16</f>
        <v>225.688726488782</v>
      </c>
      <c r="C28" s="23" t="n">
        <f aca="false">B28/B32</f>
        <v>0.475762761522932</v>
      </c>
    </row>
    <row r="29" customFormat="false" ht="15" hidden="false" customHeight="true" outlineLevel="0" collapsed="false">
      <c r="A29" s="7" t="s">
        <v>172</v>
      </c>
      <c r="B29" s="22" t="n">
        <f aca="false">Model_Naples!AA16</f>
        <v>41.9163729623478</v>
      </c>
      <c r="C29" s="23" t="n">
        <f aca="false">B29/B32</f>
        <v>0.0883617434678689</v>
      </c>
    </row>
    <row r="30" customFormat="false" ht="15" hidden="false" customHeight="true" outlineLevel="0" collapsed="false">
      <c r="A30" s="7" t="s">
        <v>173</v>
      </c>
      <c r="B30" s="22" t="n">
        <f aca="false">Model_Naples!W16</f>
        <v>125.190133333333</v>
      </c>
      <c r="C30" s="23" t="n">
        <f aca="false">B30/B32</f>
        <v>0.263906861794673</v>
      </c>
    </row>
    <row r="31" customFormat="false" ht="15" hidden="false" customHeight="true" outlineLevel="0" collapsed="false">
      <c r="A31" s="7" t="s">
        <v>174</v>
      </c>
      <c r="B31" s="22" t="n">
        <f aca="false">Model_Naples!X16</f>
        <v>81.5771745185909</v>
      </c>
      <c r="C31" s="23" t="n">
        <f aca="false">B31/B32</f>
        <v>0.171968633214527</v>
      </c>
    </row>
    <row r="32" customFormat="false" ht="15" hidden="false" customHeight="true" outlineLevel="0" collapsed="false">
      <c r="A32" s="16" t="s">
        <v>175</v>
      </c>
      <c r="B32" s="24" t="n">
        <f aca="false">SUM(B28:B31)</f>
        <v>474.372407303054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8" min="2" style="1" width="13"/>
  </cols>
  <sheetData>
    <row r="1" customFormat="false" ht="15.75" hidden="false" customHeight="true" outlineLevel="0" collapsed="false">
      <c r="A1" s="2" t="s">
        <v>176</v>
      </c>
    </row>
    <row r="3" customFormat="false" ht="15" hidden="false" customHeight="true" outlineLevel="0" collapsed="false">
      <c r="A3" s="16" t="s">
        <v>177</v>
      </c>
    </row>
    <row r="4" customFormat="false" ht="15" hidden="false" customHeight="true" outlineLevel="0" collapsed="false">
      <c r="A4" s="10" t="s">
        <v>178</v>
      </c>
      <c r="B4" s="10" t="s">
        <v>179</v>
      </c>
      <c r="C4" s="10" t="s">
        <v>180</v>
      </c>
      <c r="D4" s="10" t="s">
        <v>112</v>
      </c>
      <c r="E4" s="10" t="s">
        <v>113</v>
      </c>
      <c r="F4" s="10" t="s">
        <v>114</v>
      </c>
      <c r="G4" s="10" t="s">
        <v>115</v>
      </c>
      <c r="H4" s="10" t="s">
        <v>181</v>
      </c>
      <c r="I4" s="10" t="s">
        <v>182</v>
      </c>
      <c r="J4" s="10" t="s">
        <v>124</v>
      </c>
      <c r="K4" s="10" t="s">
        <v>125</v>
      </c>
      <c r="L4" s="10" t="s">
        <v>183</v>
      </c>
      <c r="M4" s="10" t="s">
        <v>184</v>
      </c>
      <c r="N4" s="10" t="s">
        <v>185</v>
      </c>
      <c r="O4" s="10" t="s">
        <v>186</v>
      </c>
      <c r="P4" s="10" t="s">
        <v>187</v>
      </c>
      <c r="Q4" s="10" t="s">
        <v>188</v>
      </c>
      <c r="R4" s="10" t="s">
        <v>133</v>
      </c>
    </row>
    <row r="5" customFormat="false" ht="15" hidden="false" customHeight="true" outlineLevel="0" collapsed="false">
      <c r="A5" s="8" t="n">
        <v>4</v>
      </c>
      <c r="B5" s="23" t="n">
        <f aca="false">Parameters!$B$17/(A5/Parameters!$B$16)</f>
        <v>0.73425</v>
      </c>
      <c r="C5" s="14" t="n">
        <f aca="false">A5*Parameters!$B$13</f>
        <v>92</v>
      </c>
      <c r="D5" s="12" t="n">
        <f aca="false">4*C5*Parameters!$B$10/1000</f>
        <v>3223.68</v>
      </c>
      <c r="E5" s="12" t="n">
        <f aca="false">D5/Parameters!$B$55</f>
        <v>3581.86666666667</v>
      </c>
      <c r="F5" s="12" t="n">
        <f aca="false">E5*0.5</f>
        <v>1790.93333333333</v>
      </c>
      <c r="G5" s="12" t="n">
        <f aca="false">E5*0.5</f>
        <v>1790.93333333333</v>
      </c>
      <c r="H5" s="14" t="n">
        <f aca="false">4*C5*Parameters!$B$19/1000</f>
        <v>404.8</v>
      </c>
      <c r="I5" s="14" t="n">
        <f aca="false">4*C5*Parameters!$B$45/1000</f>
        <v>3.11696</v>
      </c>
      <c r="J5" s="14" t="n">
        <f aca="false">G5*1000/Parameters!$B$50*Parameters!$B$48/1000</f>
        <v>1136.53083945669</v>
      </c>
      <c r="K5" s="14" t="n">
        <f aca="false">H5+I5+J5+Model_Naples!P15+Model_Naples!Q15+Model_Naples!R15</f>
        <v>2192.34180773574</v>
      </c>
      <c r="L5" s="14" t="n">
        <f aca="false">F5*Parameters!$B$54/1000</f>
        <v>195.211733333333</v>
      </c>
      <c r="M5" s="14" t="n">
        <f aca="false">H5*Parameters!$B$20+Model_Naples!P15*Parameters!$B$34+Model_Naples!Q15*Parameters!$B$40+Model_Naples!R15*Parameters!$B$43+I5*Parameters!$B$46+J5*Parameters!$B$49</f>
        <v>62.6806773817394</v>
      </c>
      <c r="N5" s="14" t="n">
        <f aca="false">K5*Parameters!$B$8</f>
        <v>147.359805901135</v>
      </c>
      <c r="O5" s="14" t="n">
        <f aca="false">Parameters!$B$8*((Parameters!$B$21*H5+Model_Naples!P15+Model_Naples!R15+I5)/(1+Parameters!$B$7)^10+Model_Naples!Q15/(1+Parameters!$B$7)^15)</f>
        <v>39.5550302585448</v>
      </c>
      <c r="P5" s="14" t="n">
        <f aca="false">L5+M5</f>
        <v>257.892410715073</v>
      </c>
      <c r="Q5" s="14" t="n">
        <f aca="false">N5+O5+P5</f>
        <v>444.807246874752</v>
      </c>
      <c r="R5" s="15" t="n">
        <f aca="false">Q5*1000/73000</f>
        <v>6.09324995718839</v>
      </c>
    </row>
    <row r="6" customFormat="false" ht="15" hidden="false" customHeight="true" outlineLevel="0" collapsed="false">
      <c r="A6" s="8" t="n">
        <v>4.5</v>
      </c>
      <c r="B6" s="23" t="n">
        <f aca="false">Parameters!$B$17/(A6/Parameters!$B$16)</f>
        <v>0.652666666666667</v>
      </c>
      <c r="C6" s="14" t="n">
        <f aca="false">A6*Parameters!$B$13</f>
        <v>103.5</v>
      </c>
      <c r="D6" s="12" t="n">
        <f aca="false">4*C6*Parameters!$B$10/1000</f>
        <v>3626.64</v>
      </c>
      <c r="E6" s="12" t="n">
        <f aca="false">D6/Parameters!$B$55</f>
        <v>4029.6</v>
      </c>
      <c r="F6" s="12" t="n">
        <f aca="false">E6*0.5</f>
        <v>2014.8</v>
      </c>
      <c r="G6" s="12" t="n">
        <f aca="false">E6*0.5</f>
        <v>2014.8</v>
      </c>
      <c r="H6" s="14" t="n">
        <f aca="false">4*C6*Parameters!$B$19/1000</f>
        <v>455.4</v>
      </c>
      <c r="I6" s="14" t="n">
        <f aca="false">4*C6*Parameters!$B$45/1000</f>
        <v>3.50658</v>
      </c>
      <c r="J6" s="14" t="n">
        <f aca="false">G6*1000/Parameters!$B$50*Parameters!$B$48/1000</f>
        <v>1278.59719438878</v>
      </c>
      <c r="K6" s="14" t="n">
        <f aca="false">H6+I6+J6+Model_Naples!P15+Model_Naples!Q15+Model_Naples!R15</f>
        <v>2385.39778266782</v>
      </c>
      <c r="L6" s="14" t="n">
        <f aca="false">F6*Parameters!$B$54/1000</f>
        <v>219.6132</v>
      </c>
      <c r="M6" s="14" t="n">
        <f aca="false">H6*Parameters!$B$20+Model_Naples!P15*Parameters!$B$34+Model_Naples!Q15*Parameters!$B$40+Model_Naples!R15*Parameters!$B$43+I6*Parameters!$B$46+J6*Parameters!$B$49</f>
        <v>65.9451181896663</v>
      </c>
      <c r="N6" s="14" t="n">
        <f aca="false">K6*Parameters!$B$8</f>
        <v>160.336199861996</v>
      </c>
      <c r="O6" s="14" t="n">
        <f aca="false">Parameters!$B$8*((Parameters!$B$21*H6+Model_Naples!P15+Model_Naples!R15+I6)/(1+Parameters!$B$7)^10+Model_Naples!Q15/(1+Parameters!$B$7)^15)</f>
        <v>40.5994703006116</v>
      </c>
      <c r="P6" s="14" t="n">
        <f aca="false">L6+M6</f>
        <v>285.558318189666</v>
      </c>
      <c r="Q6" s="14" t="n">
        <f aca="false">N6+O6+P6</f>
        <v>486.493988352274</v>
      </c>
      <c r="R6" s="15" t="n">
        <f aca="false">Q6*1000/73000</f>
        <v>6.66430121030513</v>
      </c>
    </row>
    <row r="7" customFormat="false" ht="15" hidden="false" customHeight="true" outlineLevel="0" collapsed="false">
      <c r="A7" s="8" t="n">
        <v>4.8</v>
      </c>
      <c r="B7" s="23" t="n">
        <f aca="false">Parameters!$B$17/(A7/Parameters!$B$16)</f>
        <v>0.611875</v>
      </c>
      <c r="C7" s="14" t="n">
        <f aca="false">A7*Parameters!$B$13</f>
        <v>110.4</v>
      </c>
      <c r="D7" s="12" t="n">
        <f aca="false">4*C7*Parameters!$B$10/1000</f>
        <v>3868.416</v>
      </c>
      <c r="E7" s="12" t="n">
        <f aca="false">D7/Parameters!$B$55</f>
        <v>4298.24</v>
      </c>
      <c r="F7" s="12" t="n">
        <f aca="false">E7*0.5</f>
        <v>2149.12</v>
      </c>
      <c r="G7" s="12" t="n">
        <f aca="false">E7*0.5</f>
        <v>2149.12</v>
      </c>
      <c r="H7" s="14" t="n">
        <f aca="false">4*C7*Parameters!$B$19/1000</f>
        <v>485.76</v>
      </c>
      <c r="I7" s="14" t="n">
        <f aca="false">4*C7*Parameters!$B$45/1000</f>
        <v>3.740352</v>
      </c>
      <c r="J7" s="14" t="n">
        <f aca="false">G7*1000/Parameters!$B$50*Parameters!$B$48/1000</f>
        <v>1363.83700734803</v>
      </c>
      <c r="K7" s="14" t="n">
        <f aca="false">H7+I7+J7+Model_Naples!P15+Model_Naples!Q15+Model_Naples!R15</f>
        <v>2501.23136762707</v>
      </c>
      <c r="L7" s="14" t="n">
        <f aca="false">F7*Parameters!$B$54/1000</f>
        <v>234.25408</v>
      </c>
      <c r="M7" s="14" t="n">
        <f aca="false">H7*Parameters!$B$20+Model_Naples!P15*Parameters!$B$34+Model_Naples!Q15*Parameters!$B$40+Model_Naples!R15*Parameters!$B$43+I7*Parameters!$B$46+J7*Parameters!$B$49</f>
        <v>67.9037826744225</v>
      </c>
      <c r="N7" s="14" t="n">
        <f aca="false">K7*Parameters!$B$8</f>
        <v>168.122036238513</v>
      </c>
      <c r="O7" s="14" t="n">
        <f aca="false">Parameters!$B$8*((Parameters!$B$21*H7+Model_Naples!P15+Model_Naples!R15+I7)/(1+Parameters!$B$7)^10+Model_Naples!Q15/(1+Parameters!$B$7)^15)</f>
        <v>41.2261343258516</v>
      </c>
      <c r="P7" s="14" t="n">
        <f aca="false">L7+M7</f>
        <v>302.157862674423</v>
      </c>
      <c r="Q7" s="14" t="n">
        <f aca="false">N7+O7+P7</f>
        <v>511.506033238788</v>
      </c>
      <c r="R7" s="15" t="n">
        <f aca="false">Q7*1000/73000</f>
        <v>7.00693196217517</v>
      </c>
    </row>
    <row r="8" customFormat="false" ht="15" hidden="false" customHeight="true" outlineLevel="0" collapsed="false">
      <c r="A8" s="25" t="n">
        <v>5.1</v>
      </c>
      <c r="B8" s="23" t="n">
        <f aca="false">Parameters!$B$17/(A8/Parameters!$B$16)</f>
        <v>0.575882352941177</v>
      </c>
      <c r="C8" s="14" t="n">
        <f aca="false">A8*Parameters!$B$13</f>
        <v>117.3</v>
      </c>
      <c r="D8" s="12" t="n">
        <f aca="false">4*C8*Parameters!$B$10/1000</f>
        <v>4110.192</v>
      </c>
      <c r="E8" s="12" t="n">
        <f aca="false">D8/Parameters!$B$55</f>
        <v>4566.88</v>
      </c>
      <c r="F8" s="12" t="n">
        <f aca="false">E8*0.5</f>
        <v>2283.44</v>
      </c>
      <c r="G8" s="12" t="n">
        <f aca="false">E8*0.5</f>
        <v>2283.44</v>
      </c>
      <c r="H8" s="14" t="n">
        <f aca="false">4*C8*Parameters!$B$19/1000</f>
        <v>516.12</v>
      </c>
      <c r="I8" s="14" t="n">
        <f aca="false">4*C8*Parameters!$B$45/1000</f>
        <v>3.974124</v>
      </c>
      <c r="J8" s="14" t="n">
        <f aca="false">G8*1000/Parameters!$B$50*Parameters!$B$48/1000</f>
        <v>1449.07682030728</v>
      </c>
      <c r="K8" s="14" t="n">
        <f aca="false">H8+I8+J8+Model_Naples!P15+Model_Naples!Q15+Model_Naples!R15</f>
        <v>2617.06495258633</v>
      </c>
      <c r="L8" s="14" t="n">
        <f aca="false">F8*Parameters!$B$54/1000</f>
        <v>248.89496</v>
      </c>
      <c r="M8" s="14" t="n">
        <f aca="false">H8*Parameters!$B$20+Model_Naples!P15*Parameters!$B$34+Model_Naples!Q15*Parameters!$B$40+Model_Naples!R15*Parameters!$B$43+I8*Parameters!$B$46+J8*Parameters!$B$49</f>
        <v>69.8624471591787</v>
      </c>
      <c r="N8" s="14" t="n">
        <f aca="false">K8*Parameters!$B$8</f>
        <v>175.90787261503</v>
      </c>
      <c r="O8" s="14" t="n">
        <f aca="false">Parameters!$B$8*((Parameters!$B$21*H8+Model_Naples!P15+Model_Naples!R15+I8)/(1+Parameters!$B$7)^10+Model_Naples!Q15/(1+Parameters!$B$7)^15)</f>
        <v>41.8527983510916</v>
      </c>
      <c r="P8" s="14" t="n">
        <f aca="false">L8+M8</f>
        <v>318.757407159179</v>
      </c>
      <c r="Q8" s="14" t="n">
        <f aca="false">N8+O8+P8</f>
        <v>536.518078125301</v>
      </c>
      <c r="R8" s="15" t="n">
        <f aca="false">Q8*1000/73000</f>
        <v>7.34956271404522</v>
      </c>
    </row>
    <row r="9" customFormat="false" ht="15" hidden="false" customHeight="true" outlineLevel="0" collapsed="false">
      <c r="A9" s="8" t="n">
        <v>5.5</v>
      </c>
      <c r="B9" s="23" t="n">
        <f aca="false">Parameters!$B$17/(A9/Parameters!$B$16)</f>
        <v>0.534</v>
      </c>
      <c r="C9" s="14" t="n">
        <f aca="false">A9*Parameters!$B$13</f>
        <v>126.5</v>
      </c>
      <c r="D9" s="12" t="n">
        <f aca="false">4*C9*Parameters!$B$10/1000</f>
        <v>4432.56</v>
      </c>
      <c r="E9" s="12" t="n">
        <f aca="false">D9/Parameters!$B$55</f>
        <v>4925.06666666667</v>
      </c>
      <c r="F9" s="12" t="n">
        <f aca="false">E9*0.5</f>
        <v>2462.53333333333</v>
      </c>
      <c r="G9" s="12" t="n">
        <f aca="false">E9*0.5</f>
        <v>2462.53333333333</v>
      </c>
      <c r="H9" s="14" t="n">
        <f aca="false">4*C9*Parameters!$B$19/1000</f>
        <v>556.6</v>
      </c>
      <c r="I9" s="14" t="n">
        <f aca="false">4*C9*Parameters!$B$45/1000</f>
        <v>4.28582</v>
      </c>
      <c r="J9" s="14" t="n">
        <f aca="false">G9*1000/Parameters!$B$50*Parameters!$B$48/1000</f>
        <v>1562.72990425295</v>
      </c>
      <c r="K9" s="14" t="n">
        <f aca="false">H9+I9+J9+Model_Naples!P15+Model_Naples!Q15+Model_Naples!R15</f>
        <v>2771.509732532</v>
      </c>
      <c r="L9" s="14" t="n">
        <f aca="false">F9*Parameters!$B$54/1000</f>
        <v>268.416133333333</v>
      </c>
      <c r="M9" s="14" t="n">
        <f aca="false">H9*Parameters!$B$20+Model_Naples!P15*Parameters!$B$34+Model_Naples!Q15*Parameters!$B$40+Model_Naples!R15*Parameters!$B$43+I9*Parameters!$B$46+J9*Parameters!$B$49</f>
        <v>72.4739998055203</v>
      </c>
      <c r="N9" s="14" t="n">
        <f aca="false">K9*Parameters!$B$8</f>
        <v>186.28898778372</v>
      </c>
      <c r="O9" s="14" t="n">
        <f aca="false">Parameters!$B$8*((Parameters!$B$21*H9+Model_Naples!P15+Model_Naples!R15+I9)/(1+Parameters!$B$7)^10+Model_Naples!Q15/(1+Parameters!$B$7)^15)</f>
        <v>42.688350384745</v>
      </c>
      <c r="P9" s="14" t="n">
        <f aca="false">L9+M9</f>
        <v>340.890133138854</v>
      </c>
      <c r="Q9" s="14" t="n">
        <f aca="false">N9+O9+P9</f>
        <v>569.867471307318</v>
      </c>
      <c r="R9" s="15" t="n">
        <f aca="false">Q9*1000/73000</f>
        <v>7.80640371653861</v>
      </c>
    </row>
    <row r="10" customFormat="false" ht="15" hidden="false" customHeight="true" outlineLevel="0" collapsed="false">
      <c r="A10" s="8" t="n">
        <v>6</v>
      </c>
      <c r="B10" s="23" t="n">
        <f aca="false">Parameters!$B$17/(A10/Parameters!$B$16)</f>
        <v>0.4895</v>
      </c>
      <c r="C10" s="14" t="n">
        <f aca="false">A10*Parameters!$B$13</f>
        <v>138</v>
      </c>
      <c r="D10" s="12" t="n">
        <f aca="false">4*C10*Parameters!$B$10/1000</f>
        <v>4835.52</v>
      </c>
      <c r="E10" s="12" t="n">
        <f aca="false">D10/Parameters!$B$55</f>
        <v>5372.8</v>
      </c>
      <c r="F10" s="12" t="n">
        <f aca="false">E10*0.5</f>
        <v>2686.4</v>
      </c>
      <c r="G10" s="12" t="n">
        <f aca="false">E10*0.5</f>
        <v>2686.4</v>
      </c>
      <c r="H10" s="14" t="n">
        <f aca="false">4*C10*Parameters!$B$19/1000</f>
        <v>607.2</v>
      </c>
      <c r="I10" s="14" t="n">
        <f aca="false">4*C10*Parameters!$B$45/1000</f>
        <v>4.67544</v>
      </c>
      <c r="J10" s="14" t="n">
        <f aca="false">G10*1000/Parameters!$B$50*Parameters!$B$48/1000</f>
        <v>1704.79625918504</v>
      </c>
      <c r="K10" s="14" t="n">
        <f aca="false">H10+I10+J10+Model_Naples!P15+Model_Naples!Q15+Model_Naples!R15</f>
        <v>2964.56570746408</v>
      </c>
      <c r="L10" s="14" t="n">
        <f aca="false">F10*Parameters!$B$54/1000</f>
        <v>292.8176</v>
      </c>
      <c r="M10" s="14" t="n">
        <f aca="false">H10*Parameters!$B$20+Model_Naples!P15*Parameters!$B$34+Model_Naples!Q15*Parameters!$B$40+Model_Naples!R15*Parameters!$B$43+I10*Parameters!$B$46+J10*Parameters!$B$49</f>
        <v>75.7384406134472</v>
      </c>
      <c r="N10" s="14" t="n">
        <f aca="false">K10*Parameters!$B$8</f>
        <v>199.265381744581</v>
      </c>
      <c r="O10" s="14" t="n">
        <f aca="false">Parameters!$B$8*((Parameters!$B$21*H10+Model_Naples!P15+Model_Naples!R15+I10)/(1+Parameters!$B$7)^10+Model_Naples!Q15/(1+Parameters!$B$7)^15)</f>
        <v>43.7327904268117</v>
      </c>
      <c r="P10" s="14" t="n">
        <f aca="false">L10+M10</f>
        <v>368.556040613447</v>
      </c>
      <c r="Q10" s="14" t="n">
        <f aca="false">N10+O10+P10</f>
        <v>611.55421278484</v>
      </c>
      <c r="R10" s="15" t="n">
        <f aca="false">Q10*1000/73000</f>
        <v>8.37745496965535</v>
      </c>
    </row>
    <row r="12" customFormat="false" ht="15" hidden="false" customHeight="true" outlineLevel="0" collapsed="false">
      <c r="A12" s="16" t="s">
        <v>189</v>
      </c>
    </row>
    <row r="13" customFormat="false" ht="15" hidden="false" customHeight="true" outlineLevel="0" collapsed="false">
      <c r="A13" s="10" t="s">
        <v>190</v>
      </c>
      <c r="B13" s="10" t="s">
        <v>133</v>
      </c>
      <c r="C13" s="10" t="s">
        <v>191</v>
      </c>
    </row>
    <row r="14" customFormat="false" ht="15" hidden="false" customHeight="true" outlineLevel="0" collapsed="false">
      <c r="A14" s="8" t="n">
        <v>70</v>
      </c>
      <c r="B14" s="18" t="n">
        <f aca="false">(Model_Naples!Z15+Model_Naples!AA15+Model_Naples!X15+Model_Naples!J15*A14/1000)*1000/73000</f>
        <v>6.15712235553928</v>
      </c>
      <c r="C14" s="26" t="n">
        <f aca="false">B14-$B$16</f>
        <v>-1.2272</v>
      </c>
    </row>
    <row r="15" customFormat="false" ht="15" hidden="false" customHeight="true" outlineLevel="0" collapsed="false">
      <c r="A15" s="8" t="n">
        <v>90</v>
      </c>
      <c r="B15" s="18" t="n">
        <f aca="false">(Model_Naples!Z15+Model_Naples!AA15+Model_Naples!X15+Model_Naples!J15*A15/1000)*1000/73000</f>
        <v>6.78645568887261</v>
      </c>
      <c r="C15" s="26" t="n">
        <f aca="false">B15-$B$16</f>
        <v>-0.597866666666667</v>
      </c>
    </row>
    <row r="16" customFormat="false" ht="15" hidden="false" customHeight="true" outlineLevel="0" collapsed="false">
      <c r="A16" s="25" t="n">
        <v>109</v>
      </c>
      <c r="B16" s="18" t="n">
        <f aca="false">(Model_Naples!Z15+Model_Naples!AA15+Model_Naples!X15+Model_Naples!J15*A16/1000)*1000/73000</f>
        <v>7.38432235553928</v>
      </c>
      <c r="C16" s="26" t="n">
        <f aca="false">B16-$B$16</f>
        <v>0</v>
      </c>
    </row>
    <row r="17" customFormat="false" ht="15" hidden="false" customHeight="true" outlineLevel="0" collapsed="false">
      <c r="A17" s="8" t="n">
        <v>130</v>
      </c>
      <c r="B17" s="18" t="n">
        <f aca="false">(Model_Naples!Z15+Model_Naples!AA15+Model_Naples!X15+Model_Naples!J15*A17/1000)*1000/73000</f>
        <v>8.04512235553928</v>
      </c>
      <c r="C17" s="26" t="n">
        <f aca="false">B17-$B$16</f>
        <v>0.660800000000001</v>
      </c>
    </row>
    <row r="18" customFormat="false" ht="15" hidden="false" customHeight="true" outlineLevel="0" collapsed="false">
      <c r="A18" s="8" t="n">
        <v>150</v>
      </c>
      <c r="B18" s="18" t="n">
        <f aca="false">(Model_Naples!Z15+Model_Naples!AA15+Model_Naples!X15+Model_Naples!J15*A18/1000)*1000/73000</f>
        <v>8.67445568887261</v>
      </c>
      <c r="C18" s="26" t="n">
        <f aca="false">B18-$B$16</f>
        <v>1.29013333333333</v>
      </c>
    </row>
    <row r="19" customFormat="false" ht="15" hidden="false" customHeight="true" outlineLevel="0" collapsed="false">
      <c r="A19" s="8" t="n">
        <v>180</v>
      </c>
      <c r="B19" s="18" t="n">
        <f aca="false">(Model_Naples!Z15+Model_Naples!AA15+Model_Naples!X15+Model_Naples!J15*A19/1000)*1000/73000</f>
        <v>9.61845568887261</v>
      </c>
      <c r="C19" s="26" t="n">
        <f aca="false">B19-$B$16</f>
        <v>2.23413333333333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15"/>
  </cols>
  <sheetData>
    <row r="1" customFormat="false" ht="15.75" hidden="false" customHeight="true" outlineLevel="0" collapsed="false">
      <c r="A1" s="2" t="s">
        <v>192</v>
      </c>
    </row>
    <row r="3" customFormat="false" ht="15" hidden="false" customHeight="true" outlineLevel="0" collapsed="false">
      <c r="A3" s="7" t="s">
        <v>193</v>
      </c>
      <c r="B3" s="8" t="n">
        <v>250</v>
      </c>
      <c r="C3" s="9" t="s">
        <v>194</v>
      </c>
    </row>
    <row r="4" customFormat="false" ht="15" hidden="false" customHeight="true" outlineLevel="0" collapsed="false">
      <c r="A4" s="7" t="s">
        <v>195</v>
      </c>
      <c r="B4" s="8" t="n">
        <v>35</v>
      </c>
      <c r="C4" s="9" t="s">
        <v>196</v>
      </c>
    </row>
    <row r="6" customFormat="false" ht="15" hidden="false" customHeight="true" outlineLevel="0" collapsed="false">
      <c r="A6" s="10" t="s">
        <v>106</v>
      </c>
      <c r="B6" s="10" t="s">
        <v>114</v>
      </c>
      <c r="C6" s="10" t="s">
        <v>115</v>
      </c>
      <c r="D6" s="10" t="s">
        <v>111</v>
      </c>
      <c r="E6" s="10" t="s">
        <v>197</v>
      </c>
    </row>
    <row r="7" customFormat="false" ht="15" hidden="false" customHeight="true" outlineLevel="0" collapsed="false">
      <c r="A7" s="7" t="s">
        <v>134</v>
      </c>
      <c r="B7" s="27" t="n">
        <f aca="false">Model_Naples!J5</f>
        <v>1148.53333333333</v>
      </c>
      <c r="C7" s="27" t="n">
        <f aca="false">Model_Naples!K5</f>
        <v>0</v>
      </c>
      <c r="D7" s="27" t="n">
        <f aca="false">Model_Naples!G5</f>
        <v>18250</v>
      </c>
      <c r="E7" s="13" t="n">
        <f aca="false">(B7*$B$3+C7*$B$4)/D7</f>
        <v>15.7333333333333</v>
      </c>
    </row>
    <row r="8" customFormat="false" ht="15" hidden="false" customHeight="true" outlineLevel="0" collapsed="false">
      <c r="A8" s="7" t="s">
        <v>136</v>
      </c>
      <c r="B8" s="27" t="n">
        <f aca="false">Model_Naples!J6</f>
        <v>861.4</v>
      </c>
      <c r="C8" s="27" t="n">
        <f aca="false">Model_Naples!K6</f>
        <v>287.133333333333</v>
      </c>
      <c r="D8" s="27" t="n">
        <f aca="false">Model_Naples!G6</f>
        <v>18250</v>
      </c>
      <c r="E8" s="13" t="n">
        <f aca="false">(B8*$B$3+C8*$B$4)/D8</f>
        <v>12.3506666666667</v>
      </c>
    </row>
    <row r="9" customFormat="false" ht="15" hidden="false" customHeight="true" outlineLevel="0" collapsed="false">
      <c r="A9" s="7" t="s">
        <v>137</v>
      </c>
      <c r="B9" s="27" t="n">
        <f aca="false">Model_Naples!J7</f>
        <v>574.266666666667</v>
      </c>
      <c r="C9" s="27" t="n">
        <f aca="false">Model_Naples!K7</f>
        <v>574.266666666667</v>
      </c>
      <c r="D9" s="27" t="n">
        <f aca="false">Model_Naples!G7</f>
        <v>18250</v>
      </c>
      <c r="E9" s="13" t="n">
        <f aca="false">(B9*$B$3+C9*$B$4)/D9</f>
        <v>8.968</v>
      </c>
    </row>
    <row r="10" customFormat="false" ht="15" hidden="false" customHeight="true" outlineLevel="0" collapsed="false">
      <c r="A10" s="7" t="s">
        <v>138</v>
      </c>
      <c r="B10" s="27" t="n">
        <f aca="false">Model_Naples!J8</f>
        <v>287.133333333333</v>
      </c>
      <c r="C10" s="27" t="n">
        <f aca="false">Model_Naples!K8</f>
        <v>861.4</v>
      </c>
      <c r="D10" s="27" t="n">
        <f aca="false">Model_Naples!G8</f>
        <v>18250</v>
      </c>
      <c r="E10" s="13" t="n">
        <f aca="false">(B10*$B$3+C10*$B$4)/D10</f>
        <v>5.58533333333333</v>
      </c>
    </row>
    <row r="11" customFormat="false" ht="15" hidden="false" customHeight="true" outlineLevel="0" collapsed="false">
      <c r="A11" s="7" t="s">
        <v>139</v>
      </c>
      <c r="B11" s="27" t="n">
        <f aca="false">Model_Naples!J9</f>
        <v>2297.06666666667</v>
      </c>
      <c r="C11" s="27" t="n">
        <f aca="false">Model_Naples!K9</f>
        <v>0</v>
      </c>
      <c r="D11" s="27" t="n">
        <f aca="false">Model_Naples!G9</f>
        <v>36500</v>
      </c>
      <c r="E11" s="13" t="n">
        <f aca="false">(B11*$B$3+C11*$B$4)/D11</f>
        <v>15.7333333333333</v>
      </c>
    </row>
    <row r="12" customFormat="false" ht="15" hidden="false" customHeight="true" outlineLevel="0" collapsed="false">
      <c r="A12" s="7" t="s">
        <v>141</v>
      </c>
      <c r="B12" s="27" t="n">
        <f aca="false">Model_Naples!J10</f>
        <v>1722.8</v>
      </c>
      <c r="C12" s="27" t="n">
        <f aca="false">Model_Naples!K10</f>
        <v>574.266666666667</v>
      </c>
      <c r="D12" s="27" t="n">
        <f aca="false">Model_Naples!G10</f>
        <v>36500</v>
      </c>
      <c r="E12" s="13" t="n">
        <f aca="false">(B12*$B$3+C12*$B$4)/D12</f>
        <v>12.3506666666667</v>
      </c>
    </row>
    <row r="13" customFormat="false" ht="15" hidden="false" customHeight="true" outlineLevel="0" collapsed="false">
      <c r="A13" s="7" t="s">
        <v>142</v>
      </c>
      <c r="B13" s="27" t="n">
        <f aca="false">Model_Naples!J11</f>
        <v>1148.53333333333</v>
      </c>
      <c r="C13" s="27" t="n">
        <f aca="false">Model_Naples!K11</f>
        <v>1148.53333333333</v>
      </c>
      <c r="D13" s="27" t="n">
        <f aca="false">Model_Naples!G11</f>
        <v>36500</v>
      </c>
      <c r="E13" s="13" t="n">
        <f aca="false">(B13*$B$3+C13*$B$4)/D13</f>
        <v>8.968</v>
      </c>
    </row>
    <row r="14" customFormat="false" ht="15" hidden="false" customHeight="true" outlineLevel="0" collapsed="false">
      <c r="A14" s="7" t="s">
        <v>143</v>
      </c>
      <c r="B14" s="27" t="n">
        <f aca="false">Model_Naples!J12</f>
        <v>574.266666666667</v>
      </c>
      <c r="C14" s="27" t="n">
        <f aca="false">Model_Naples!K12</f>
        <v>1722.8</v>
      </c>
      <c r="D14" s="27" t="n">
        <f aca="false">Model_Naples!G12</f>
        <v>36500</v>
      </c>
      <c r="E14" s="13" t="n">
        <f aca="false">(B14*$B$3+C14*$B$4)/D14</f>
        <v>5.58533333333333</v>
      </c>
    </row>
    <row r="15" customFormat="false" ht="15" hidden="false" customHeight="true" outlineLevel="0" collapsed="false">
      <c r="A15" s="7" t="s">
        <v>144</v>
      </c>
      <c r="B15" s="27" t="n">
        <f aca="false">Model_Naples!J13</f>
        <v>4594.13333333333</v>
      </c>
      <c r="C15" s="27" t="n">
        <f aca="false">Model_Naples!K13</f>
        <v>0</v>
      </c>
      <c r="D15" s="27" t="n">
        <f aca="false">Model_Naples!G13</f>
        <v>73000</v>
      </c>
      <c r="E15" s="13" t="n">
        <f aca="false">(B15*$B$3+C15*$B$4)/D15</f>
        <v>15.7333333333333</v>
      </c>
    </row>
    <row r="16" customFormat="false" ht="15" hidden="false" customHeight="true" outlineLevel="0" collapsed="false">
      <c r="A16" s="7" t="s">
        <v>146</v>
      </c>
      <c r="B16" s="27" t="n">
        <f aca="false">Model_Naples!J14</f>
        <v>3445.6</v>
      </c>
      <c r="C16" s="27" t="n">
        <f aca="false">Model_Naples!K14</f>
        <v>1148.53333333333</v>
      </c>
      <c r="D16" s="27" t="n">
        <f aca="false">Model_Naples!G14</f>
        <v>73000</v>
      </c>
      <c r="E16" s="13" t="n">
        <f aca="false">(B16*$B$3+C16*$B$4)/D16</f>
        <v>12.3506666666667</v>
      </c>
    </row>
    <row r="17" customFormat="false" ht="15" hidden="false" customHeight="true" outlineLevel="0" collapsed="false">
      <c r="A17" s="7" t="s">
        <v>147</v>
      </c>
      <c r="B17" s="27" t="n">
        <f aca="false">Model_Naples!J15</f>
        <v>2297.06666666667</v>
      </c>
      <c r="C17" s="27" t="n">
        <f aca="false">Model_Naples!K15</f>
        <v>2297.06666666667</v>
      </c>
      <c r="D17" s="27" t="n">
        <f aca="false">Model_Naples!G15</f>
        <v>73000</v>
      </c>
      <c r="E17" s="13" t="n">
        <f aca="false">(B17*$B$3+C17*$B$4)/D17</f>
        <v>8.968</v>
      </c>
    </row>
    <row r="18" customFormat="false" ht="15" hidden="false" customHeight="true" outlineLevel="0" collapsed="false">
      <c r="A18" s="7" t="s">
        <v>148</v>
      </c>
      <c r="B18" s="27" t="n">
        <f aca="false">Model_Naples!J16</f>
        <v>1148.53333333333</v>
      </c>
      <c r="C18" s="27" t="n">
        <f aca="false">Model_Naples!K16</f>
        <v>3445.6</v>
      </c>
      <c r="D18" s="27" t="n">
        <f aca="false">Model_Naples!G16</f>
        <v>73000</v>
      </c>
      <c r="E18" s="13" t="n">
        <f aca="false">(B18*$B$3+C18*$B$4)/D18</f>
        <v>5.58533333333333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2026-07-02T11:34:04Z</dcterms:created>
  <dc:creator>openpyxl</dc:creator>
  <dc:description/>
  <dc:language>en-US</dc:language>
  <cp:lastModifiedBy/>
  <dcterms:modified xsi:type="dcterms:W3CDTF">2026-07-02T15:25:38Z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